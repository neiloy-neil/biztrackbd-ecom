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dcaf907c2140d6" /></Relationships>
</file>

<file path=xl/workbook.xml><?xml version="1.0" encoding="utf-8"?>
<x:workbook xmlns:x="http://schemas.openxmlformats.org/spreadsheetml/2006/main">
  <x:sheets>
    <x:sheet xmlns:r="http://schemas.openxmlformats.org/officeDocument/2006/relationships" name="Competitors" sheetId="1" r:id="Rd5c36b6a7dc04eab"/>
    <x:sheet xmlns:r="http://schemas.openxmlformats.org/officeDocument/2006/relationships" name="Comparison matrix" sheetId="2" r:id="R0a5b3aca7d184041"/>
    <x:sheet xmlns:r="http://schemas.openxmlformats.org/officeDocument/2006/relationships" name="Facebook posts log" sheetId="3" r:id="Rd600a5339f744deb"/>
    <x:sheet xmlns:r="http://schemas.openxmlformats.org/officeDocument/2006/relationships" name="Ad Library log" sheetId="4" r:id="R65654163e6c746d6"/>
    <x:sheet xmlns:r="http://schemas.openxmlformats.org/officeDocument/2006/relationships" name="Content calendar" sheetId="5" r:id="Ra0131a3d17e14fad"/>
    <x:sheet xmlns:r="http://schemas.openxmlformats.org/officeDocument/2006/relationships" name="Ad concepts" sheetId="6" r:id="Raf9417c7e1eb4ab5"/>
    <x:sheet xmlns:r="http://schemas.openxmlformats.org/officeDocument/2006/relationships" name="Keywords" sheetId="7" r:id="R37a7ecbf129949ac"/>
    <x:sheet xmlns:r="http://schemas.openxmlformats.org/officeDocument/2006/relationships" name="KPI model" sheetId="8" r:id="Rec094b475b7f4b83"/>
    <x:sheet xmlns:r="http://schemas.openxmlformats.org/officeDocument/2006/relationships" name="90-day plan" sheetId="9" r:id="Rbcfe36ec1dfe4a7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00"/>
  </x:numFmts>
  <x:fonts count="4">
    <x:font>
      <x:sz val="11"/>
      <x:name val="Carlito"/>
    </x:font>
    <x:font>
      <x:sz val="10"/>
      <x:color rgb="FF0F172A"/>
      <x:name val="Aptos"/>
    </x:font>
    <x:font>
      <x:b/>
      <x:sz val="10"/>
      <x:color rgb="FFFFFFFF"/>
      <x:name val="Aptos Display"/>
    </x:font>
    <x:font>
      <x:i/>
      <x:sz val="11"/>
      <x:color rgb="FF4C1D95"/>
      <x:name val="Carlito"/>
    </x:font>
  </x:fonts>
  <x:fills count="7">
    <x:fill>
      <x:patternFill patternType="none"/>
    </x:fill>
    <x:fill>
      <x:patternFill patternType="gray125"/>
    </x:fill>
    <x:fill>
      <x:patternFill patternType="solid">
        <x:fgColor rgb="FF172554"/>
      </x:patternFill>
    </x:fill>
    <x:fill>
      <x:patternFill patternType="solid">
        <x:fgColor rgb="FFF5F3FF"/>
      </x:patternFill>
    </x:fill>
    <x:fill>
      <x:patternFill patternType="solid">
        <x:fgColor rgb="FFEFF6FF"/>
      </x:patternFill>
    </x:fill>
    <x:fill>
      <x:patternFill patternType="solid">
        <x:fgColor rgb="FFFFF7ED"/>
      </x:patternFill>
    </x:fill>
    <x:fill>
      <x:patternFill patternType="solid">
        <x:fgColor rgb="FFECFDF5"/>
      </x:patternFill>
    </x:fill>
  </x:fills>
  <x:borders count="2">
    <x:border>
      <x:left/>
      <x:right/>
      <x:top/>
      <x:bottom/>
      <x:diagonal/>
    </x:border>
    <x:border>
      <x:left style="thin">
        <x:color rgb="FFCBD5E1"/>
      </x:left>
      <x:right style="thin">
        <x:color rgb="FFCBD5E1"/>
      </x:right>
      <x:top style="thin">
        <x:color rgb="FFCBD5E1"/>
      </x:top>
      <x:bottom style="thin">
        <x:color rgb="FFCBD5E1"/>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4" borderId="1"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202" fontId="1" fillId="0" borderId="1" xfId="0" applyNumberFormat="1" applyFont="1" applyFill="1" applyBorder="1" applyAlignment="1">
      <x:alignment vertical="center" wrapText="1"/>
    </x:xf>
    <x:xf numFmtId="0" fontId="1" fillId="5" borderId="1" xfId="0" applyNumberFormat="1" applyFont="1" applyFill="1" applyBorder="1" applyAlignment="1">
      <x:alignment vertical="center" wrapText="1"/>
    </x:xf>
    <x:xf numFmtId="200" fontId="1" fillId="5" borderId="1" xfId="0" applyNumberFormat="1" applyFont="1" applyFill="1" applyBorder="1" applyAlignment="1">
      <x:alignment vertical="center" wrapText="1"/>
    </x:xf>
    <x:xf numFmtId="201" fontId="1" fillId="6" borderId="1" xfId="0" applyNumberFormat="1" applyFont="1" applyFill="1" applyBorder="1" applyAlignment="1">
      <x:alignment vertical="center" wrapText="1"/>
    </x:xf>
    <x:xf numFmtId="202" fontId="1" fillId="6" borderId="1" xfId="0" applyNumberFormat="1" applyFont="1" applyFill="1" applyBorder="1" applyAlignment="1">
      <x:alignment vertical="center" wrapText="1"/>
    </x:xf>
  </x:cellXfs>
  <x:cellStyles count="1">
    <x:cellStyle name="Normal" xfId="0"/>
  </x:cellStyles>
  <x:dxfs count="5">
    <x:dxf>
      <x:font>
        <x:b/>
        <x:color rgb="FF047857"/>
      </x:font>
      <x:fill>
        <x:patternFill patternType="solid">
          <x:bgColor rgb="FFDCFCE7"/>
        </x:patternFill>
      </x:fill>
    </x:dxf>
    <x:dxf>
      <x:font>
        <x:b/>
        <x:color rgb="FFB45309"/>
      </x:font>
      <x:fill>
        <x:patternFill patternType="solid">
          <x:bgColor rgb="FFFEF3C7"/>
        </x:patternFill>
      </x:fill>
    </x:dxf>
    <x:dxf>
      <x:font>
        <x:b/>
        <x:color rgb="FFB91C1C"/>
      </x:font>
      <x:fill>
        <x:patternFill patternType="solid">
          <x:bgColor rgb="FFFEE2E2"/>
        </x:patternFill>
      </x:fill>
    </x:dxf>
    <x:dxf>
      <x:font>
        <x:b/>
        <x:color rgb="FF047857"/>
      </x:font>
      <x:fill>
        <x:patternFill patternType="solid">
          <x:bgColor rgb="FFDCFCE7"/>
        </x:patternFill>
      </x:fill>
    </x:dxf>
    <x:dxf>
      <x:font>
        <x:b/>
        <x:color rgb="FFB91C1C"/>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85329e836e428f" /><Relationship Type="http://schemas.openxmlformats.org/officeDocument/2006/relationships/theme" Target="/xl/theme/theme1.xml" Id="Rc52255a320764e5e" /><Relationship Type="http://schemas.openxmlformats.org/officeDocument/2006/relationships/sharedStrings" Target="/xl/sharedStrings.xml" Id="R664f10b0d956496a" /><Relationship Type="http://schemas.openxmlformats.org/officeDocument/2006/relationships/worksheet" Target="/xl/worksheets/sheet1.xml" Id="Rd5c36b6a7dc04eab" /><Relationship Type="http://schemas.openxmlformats.org/officeDocument/2006/relationships/worksheet" Target="/xl/worksheets/sheet2.xml" Id="R0a5b3aca7d184041" /><Relationship Type="http://schemas.openxmlformats.org/officeDocument/2006/relationships/worksheet" Target="/xl/worksheets/sheet3.xml" Id="Rd600a5339f744deb" /><Relationship Type="http://schemas.openxmlformats.org/officeDocument/2006/relationships/worksheet" Target="/xl/worksheets/sheet4.xml" Id="R65654163e6c746d6" /><Relationship Type="http://schemas.openxmlformats.org/officeDocument/2006/relationships/worksheet" Target="/xl/worksheets/sheet5.xml" Id="Ra0131a3d17e14fad" /><Relationship Type="http://schemas.openxmlformats.org/officeDocument/2006/relationships/worksheet" Target="/xl/worksheets/sheet6.xml" Id="Raf9417c7e1eb4ab5" /><Relationship Type="http://schemas.openxmlformats.org/officeDocument/2006/relationships/worksheet" Target="/xl/worksheets/sheet7.xml" Id="R37a7ecbf129949ac" /><Relationship Type="http://schemas.openxmlformats.org/officeDocument/2006/relationships/worksheet" Target="/xl/worksheets/sheet8.xml" Id="Rec094b475b7f4b83" /><Relationship Type="http://schemas.openxmlformats.org/officeDocument/2006/relationships/worksheet" Target="/xl/worksheets/sheet9.xml" Id="Rbcfe36ec1dfe4a7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7C3AED"/>
  </x:sheetPr>
  <x:sheetViews>
    <x:sheetView showGridLines="0" workbookViewId="0">
      <x:pane ySplit="1" topLeftCell="A2" activePane="bottomLeft" state="frozen"/>
    </x:sheetView>
  </x:sheetViews>
  <x:sheetFormatPr defaultRowHeight="15"/>
  <x:cols>
    <x:col min="1" max="1" width="22" hidden="0" customWidth="1"/>
    <x:col min="2" max="2" width="20" hidden="0" customWidth="1"/>
    <x:col min="3" max="3" width="13" hidden="0" customWidth="1"/>
    <x:col min="4" max="4" width="46" hidden="0" customWidth="1"/>
    <x:col min="5" max="5" width="16" hidden="0" customWidth="1"/>
    <x:col min="6" max="6" width="38" hidden="0" customWidth="1"/>
    <x:col min="7" max="7" width="43" hidden="0" customWidth="1"/>
    <x:col min="8" max="8" width="14" hidden="0" customWidth="1"/>
    <x:col min="9" max="9" width="15" hidden="0" customWidth="1"/>
    <x:col min="10" max="10" width="34" hidden="0" customWidth="1"/>
  </x:cols>
  <x:sheetData>
    <x:row r="1" ht="30" customHeight="1">
      <x:c r="A1" s="6" t="str">
        <x:v>Competitor</x:v>
      </x:c>
      <x:c r="B1" s="6" t="str">
        <x:v>Type</x:v>
      </x:c>
      <x:c r="C1" s="6" t="str">
        <x:v>Decision</x:v>
      </x:c>
      <x:c r="D1" s="6" t="str">
        <x:v>Selection logic</x:v>
      </x:c>
      <x:c r="E1" s="6" t="str">
        <x:v>Observed status</x:v>
      </x:c>
      <x:c r="F1" s="6" t="str">
        <x:v>Primary URL</x:v>
      </x:c>
      <x:c r="G1" s="6" t="str">
        <x:v>Facebook URL</x:v>
      </x:c>
      <x:c r="H1" s="6" t="str">
        <x:v>Observed date</x:v>
      </x:c>
      <x:c r="I1" s="6" t="str">
        <x:v>Evidence label</x:v>
      </x:c>
      <x:c r="J1" s="6" t="str">
        <x:v>Evidence note</x:v>
      </x:c>
    </x:row>
    <x:row r="2">
      <x:c r="A2" s="4" t="str">
        <x:v>StoreX</x:v>
      </x:c>
      <x:c r="B2" s="4" t="str">
        <x:v>Direct local SaaS</x:v>
      </x:c>
      <x:c r="C2" s="4" t="str">
        <x:v>SELECTED</x:v>
      </x:c>
      <x:c r="D2" s="4" t="str">
        <x:v>Strongest local operating-stack benchmark; public pricing and social activity are observable.</x:v>
      </x:c>
      <x:c r="E2" s="4" t="str">
        <x:v>Active</x:v>
      </x:c>
      <x:c r="F2" s="4" t="str">
        <x:v>https://storex.com.bd/</x:v>
      </x:c>
      <x:c r="G2" s="4" t="str">
        <x:v>https://www.facebook.com/StoreXeCommerceAutomation</x:v>
      </x:c>
      <x:c r="H2" s="4" t="str">
        <x:v>2026-10-16</x:v>
      </x:c>
      <x:c r="I2" s="4" t="str">
        <x:v>FACT</x:v>
      </x:c>
      <x:c r="J2" s="4" t="str">
        <x:v>Homepage, pricing and public Facebook page</x:v>
      </x:c>
    </x:row>
    <x:row r="3">
      <x:c r="A3" s="4" t="str">
        <x:v>Zatiq</x:v>
      </x:c>
      <x:c r="B3" s="4" t="str">
        <x:v>Direct local SaaS</x:v>
      </x:c>
      <x:c r="C3" s="4" t="str">
        <x:v>SELECTED</x:v>
      </x:c>
      <x:c r="D3" s="4" t="str">
        <x:v>Large public Facebook audience and freemium-to-growth ladder.</x:v>
      </x:c>
      <x:c r="E3" s="4" t="str">
        <x:v>Active</x:v>
      </x:c>
      <x:c r="F3" s="4" t="str">
        <x:v>https://zatiqeasy.com/</x:v>
      </x:c>
      <x:c r="G3" s="4" t="str">
        <x:v>https://facebook.com/Zatiqglobal/</x:v>
      </x:c>
      <x:c r="H3" s="4" t="str">
        <x:v>2026-10-16</x:v>
      </x:c>
      <x:c r="I3" s="4" t="str">
        <x:v>FACT</x:v>
      </x:c>
      <x:c r="J3" s="4" t="str">
        <x:v>Pricing and public Facebook page</x:v>
      </x:c>
    </x:row>
    <x:row r="4">
      <x:c r="A4" s="4" t="str">
        <x:v>Sellsull</x:v>
      </x:c>
      <x:c r="B4" s="4" t="str">
        <x:v>Direct local SaaS</x:v>
      </x:c>
      <x:c r="C4" s="4" t="str">
        <x:v>SELECTED</x:v>
      </x:c>
      <x:c r="D4" s="4" t="str">
        <x:v>Low-price local builder with courier, payments, fraud and POS positioning.</x:v>
      </x:c>
      <x:c r="E4" s="4" t="str">
        <x:v>Active</x:v>
      </x:c>
      <x:c r="F4" s="4" t="str">
        <x:v>https://sellsull.com/</x:v>
      </x:c>
      <x:c r="G4" s="4" t="str">
        <x:v>https://www.facebook.com/sellsull.ecommerce</x:v>
      </x:c>
      <x:c r="H4" s="4" t="str">
        <x:v>2026-10-16</x:v>
      </x:c>
      <x:c r="I4" s="4" t="str">
        <x:v>FACT</x:v>
      </x:c>
      <x:c r="J4" s="4" t="str">
        <x:v>Homepage and public Facebook page</x:v>
      </x:c>
    </x:row>
    <x:row r="5">
      <x:c r="A5" s="4" t="str">
        <x:v>SeloraX</x:v>
      </x:c>
      <x:c r="B5" s="4" t="str">
        <x:v>Direct local SaaS</x:v>
      </x:c>
      <x:c r="C5" s="4" t="str">
        <x:v>SELECTED</x:v>
      </x:c>
      <x:c r="D5" s="4" t="str">
        <x:v>AI-automation positioning and comparable monthly plans.</x:v>
      </x:c>
      <x:c r="E5" s="4" t="str">
        <x:v>Active</x:v>
      </x:c>
      <x:c r="F5" s="4" t="str">
        <x:v>https://selorax.io/</x:v>
      </x:c>
      <x:c r="G5" s="4" t="str">
        <x:v>https://www.facebook.com/selorax.io</x:v>
      </x:c>
      <x:c r="H5" s="4" t="str">
        <x:v>2026-10-16</x:v>
      </x:c>
      <x:c r="I5" s="4" t="str">
        <x:v>FACT</x:v>
      </x:c>
      <x:c r="J5" s="4" t="str">
        <x:v>Homepage, pricing and public Facebook page</x:v>
      </x:c>
    </x:row>
    <x:row r="6">
      <x:c r="A6" s="4" t="str">
        <x:v>FrameX Tech</x:v>
      </x:c>
      <x:c r="B6" s="4" t="str">
        <x:v>Direct local SaaS</x:v>
      </x:c>
      <x:c r="C6" s="4" t="str">
        <x:v>SELECTED</x:v>
      </x:c>
      <x:c r="D6" s="4" t="str">
        <x:v>Free tier plus local integrations and a broad feature bundle.</x:v>
      </x:c>
      <x:c r="E6" s="4" t="str">
        <x:v>Active</x:v>
      </x:c>
      <x:c r="F6" s="4" t="str">
        <x:v>https://framextech.com/</x:v>
      </x:c>
      <x:c r="G6" s="4" t="str">
        <x:v>https://www.facebook.com/framextech</x:v>
      </x:c>
      <x:c r="H6" s="4" t="str">
        <x:v>2026-10-16</x:v>
      </x:c>
      <x:c r="I6" s="4" t="str">
        <x:v>FACT</x:v>
      </x:c>
      <x:c r="J6" s="4" t="str">
        <x:v>Homepage, pricing and public Facebook page</x:v>
      </x:c>
    </x:row>
    <x:row r="7">
      <x:c r="A7" s="4" t="str">
        <x:v>ShopZero</x:v>
      </x:c>
      <x:c r="B7" s="4" t="str">
        <x:v>Direct local SaaS</x:v>
      </x:c>
      <x:c r="C7" s="4" t="str">
        <x:v>SELECTED</x:v>
      </x:c>
      <x:c r="D7" s="4" t="str">
        <x:v>Human-assisted setup and local-commerce positioning.</x:v>
      </x:c>
      <x:c r="E7" s="4" t="str">
        <x:v>Active</x:v>
      </x:c>
      <x:c r="F7" s="4" t="str">
        <x:v>https://shopzero.bd/</x:v>
      </x:c>
      <x:c r="G7" s="4" t="str">
        <x:v>https://www.facebook.com/shopzero.bd</x:v>
      </x:c>
      <x:c r="H7" s="4" t="str">
        <x:v>2026-10-16</x:v>
      </x:c>
      <x:c r="I7" s="4" t="str">
        <x:v>FACT</x:v>
      </x:c>
      <x:c r="J7" s="4" t="str">
        <x:v>Homepage and public Facebook page</x:v>
      </x:c>
    </x:row>
    <x:row r="8">
      <x:c r="A8" s="4" t="str">
        <x:v>Shopify</x:v>
      </x:c>
      <x:c r="B8" s="4" t="str">
        <x:v>Global SaaS</x:v>
      </x:c>
      <x:c r="C8" s="4" t="str">
        <x:v>SELECTED</x:v>
      </x:c>
      <x:c r="D8" s="4" t="str">
        <x:v>Global platform benchmark and familiar alternative for growth-stage merchants.</x:v>
      </x:c>
      <x:c r="E8" s="4" t="str">
        <x:v>Active</x:v>
      </x:c>
      <x:c r="F8" s="4" t="str">
        <x:v>https://www.shopify.com/pricing</x:v>
      </x:c>
      <x:c r="G8" s="4" t="str">
        <x:v>https://www.facebook.com/shopify</x:v>
      </x:c>
      <x:c r="H8" s="4" t="str">
        <x:v>2026-10-16</x:v>
      </x:c>
      <x:c r="I8" s="4" t="str">
        <x:v>FACT</x:v>
      </x:c>
      <x:c r="J8" s="4" t="str">
        <x:v>Official pricing</x:v>
      </x:c>
    </x:row>
    <x:row r="9">
      <x:c r="A9" s="4" t="str">
        <x:v>WooCommerce + agency</x:v>
      </x:c>
      <x:c r="B9" s="4" t="str">
        <x:v>Open-source stack</x:v>
      </x:c>
      <x:c r="C9" s="4" t="str">
        <x:v>SELECTED</x:v>
      </x:c>
      <x:c r="D9" s="4" t="str">
        <x:v>Common build-vs-buy alternative with free core but variable delivery cost.</x:v>
      </x:c>
      <x:c r="E9" s="4" t="str">
        <x:v>Active</x:v>
      </x:c>
      <x:c r="F9" s="4" t="str">
        <x:v>https://woocommerce.com/pricing/</x:v>
      </x:c>
      <x:c r="G9" s="4" t="str"/>
      <x:c r="H9" s="4" t="str">
        <x:v>2026-10-16</x:v>
      </x:c>
      <x:c r="I9" s="4" t="str">
        <x:v>FACT</x:v>
      </x:c>
      <x:c r="J9" s="4" t="str">
        <x:v>Official pricing guide</x:v>
      </x:c>
    </x:row>
    <x:row r="10">
      <x:c r="A10" s="4" t="str">
        <x:v>Daraz</x:v>
      </x:c>
      <x:c r="B10" s="4" t="str">
        <x:v>Marketplace alternative</x:v>
      </x:c>
      <x:c r="C10" s="4" t="str">
        <x:v>SELECTED</x:v>
      </x:c>
      <x:c r="D10" s="4" t="str">
        <x:v>Demand-access alternative to owning a storefront; category commissions vary.</x:v>
      </x:c>
      <x:c r="E10" s="4" t="str">
        <x:v>Active</x:v>
      </x:c>
      <x:c r="F10" s="4" t="str">
        <x:v>https://sellercenter.daraz.com.bd/portal/</x:v>
      </x:c>
      <x:c r="G10" s="4" t="str">
        <x:v>https://www.facebook.com/DarazBangladesh</x:v>
      </x:c>
      <x:c r="H10" s="4" t="str">
        <x:v>2026-10-16</x:v>
      </x:c>
      <x:c r="I10" s="4" t="str">
        <x:v>FACT</x:v>
      </x:c>
      <x:c r="J10" s="4" t="str">
        <x:v>Official seller and commission pages</x:v>
      </x:c>
    </x:row>
    <x:row r="11">
      <x:c r="A11" s="4" t="str">
        <x:v>Facebook/Instagram + chat + sheet</x:v>
      </x:c>
      <x:c r="B11" s="4" t="str">
        <x:v>Manual workflow</x:v>
      </x:c>
      <x:c r="C11" s="4" t="str">
        <x:v>SELECTED</x:v>
      </x:c>
      <x:c r="D11" s="4" t="str">
        <x:v>The practical status quo for social sellers, despite fragmented operations.</x:v>
      </x:c>
      <x:c r="E11" s="4" t="str">
        <x:v>Active</x:v>
      </x:c>
      <x:c r="F11" s="4" t="str">
        <x:v>https://www.facebook.com/business/</x:v>
      </x:c>
      <x:c r="G11" s="4" t="str"/>
      <x:c r="H11" s="4" t="str">
        <x:v>2026-10-16</x:v>
      </x:c>
      <x:c r="I11" s="4" t="str">
        <x:v>INFERENCE</x:v>
      </x:c>
      <x:c r="J11" s="4" t="str">
        <x:v>Workflow inferred from category behavior; no single vendor source</x:v>
      </x:c>
    </x:row>
    <x:row r="12">
      <x:c r="A12" s="4" t="str">
        <x:v>Bitcommerz</x:v>
      </x:c>
      <x:c r="B12" s="4" t="str">
        <x:v>Direct local SaaS</x:v>
      </x:c>
      <x:c r="C12" s="4" t="str">
        <x:v>WATCHLIST</x:v>
      </x:c>
      <x:c r="D12" s="4" t="str">
        <x:v>Website appears relevant, but its own Facebook link resolved to an unrelated 37-follower crypto/currency page; identity must be revalidated.</x:v>
      </x:c>
      <x:c r="E12" s="4" t="str">
        <x:v>Unverified</x:v>
      </x:c>
      <x:c r="F12" s="4" t="str">
        <x:v>https://bitcommerz.com/</x:v>
      </x:c>
      <x:c r="G12" s="4" t="str">
        <x:v>https://www.facebook.com/bitcommerz</x:v>
      </x:c>
      <x:c r="H12" s="4" t="str">
        <x:v>2026-10-16</x:v>
      </x:c>
      <x:c r="I12" s="4" t="str">
        <x:v>FACT</x:v>
      </x:c>
      <x:c r="J12" s="4" t="str">
        <x:v>Official website and linked Facebook page</x:v>
      </x:c>
    </x:row>
    <x:row r="13">
      <x:c r="A13" s="4" t="str">
        <x:v>StoreKoo</x:v>
      </x:c>
      <x:c r="B13" s="4" t="str">
        <x:v>Direct local SaaS</x:v>
      </x:c>
      <x:c r="C13" s="4" t="str">
        <x:v>WATCHLIST</x:v>
      </x:c>
      <x:c r="D13" s="4" t="str">
        <x:v>Potential entrant; insufficient public operating history for the core benchmark.</x:v>
      </x:c>
      <x:c r="E13" s="4" t="str">
        <x:v>Unverified</x:v>
      </x:c>
      <x:c r="F13" s="4" t="str"/>
      <x:c r="G13" s="4" t="str"/>
      <x:c r="H13" s="4" t="str">
        <x:v>2026-10-16</x:v>
      </x:c>
      <x:c r="I13" s="4" t="str">
        <x:v>INFERENCE</x:v>
      </x:c>
      <x:c r="J13" s="4" t="str">
        <x:v>Recheck in 30 days</x:v>
      </x:c>
    </x:row>
    <x:row r="14">
      <x:c r="A14" s="4" t="str">
        <x:v>ShopX / eCommerceX / Storola</x:v>
      </x:c>
      <x:c r="B14" s="4" t="str">
        <x:v>Possible alternatives</x:v>
      </x:c>
      <x:c r="C14" s="4" t="str">
        <x:v>REJECTED</x:v>
      </x:c>
      <x:c r="D14" s="4" t="str">
        <x:v>Relevance or identity could not be validated reliably in this pass.</x:v>
      </x:c>
      <x:c r="E14" s="4" t="str">
        <x:v>Not validated</x:v>
      </x:c>
      <x:c r="F14" s="4" t="str"/>
      <x:c r="G14" s="4" t="str"/>
      <x:c r="H14" s="4" t="str">
        <x:v>2026-10-16</x:v>
      </x:c>
      <x:c r="I14" s="4" t="str">
        <x:v>FACT</x:v>
      </x:c>
      <x:c r="J14" s="4" t="str">
        <x:v>Not found or ambiguous during public-source review</x:v>
      </x:c>
    </x:row>
  </x:sheetData>
  <x:conditionalFormatting sqref="C2:C14">
    <x:cfRule type="containsText" dxfId="0" priority="1" operator="containsText" text="SELECTED"/>
    <x:cfRule type="containsText" dxfId="1" priority="2" operator="containsText" text="WATCHLIST"/>
    <x:cfRule type="containsText" dxfId="2" priority="3" operator="containsText" text="REJECTED"/>
  </x:conditionalFormatting>
  <x:pageMargins left="0.7" right="0.7" top="0.75" bottom="0.75" header="0.3" footer="0.3"/>
</x:worksheet>
</file>

<file path=xl/worksheets/sheet2.xml><?xml version="1.0" encoding="utf-8"?>
<x:worksheet xmlns:x="http://schemas.openxmlformats.org/spreadsheetml/2006/main">
  <x:sheetPr>
    <x:tabColor rgb="FF2563EB"/>
  </x:sheetPr>
  <x:sheetViews>
    <x:sheetView showGridLines="0" workbookViewId="0">
      <x:pane xSplit="1" ySplit="1" topLeftCell="B2" activePane="bottomRight" state="frozen"/>
    </x:sheetView>
  </x:sheetViews>
  <x:sheetFormatPr defaultRowHeight="15"/>
  <x:cols>
    <x:col min="1" max="1" width="21" hidden="0" customWidth="1"/>
    <x:col min="2" max="2" width="22" hidden="0" customWidth="1"/>
    <x:col min="3" max="3" width="42" hidden="0" customWidth="1"/>
    <x:col min="4" max="4" width="25" hidden="0" customWidth="1"/>
    <x:col min="5" max="5" width="13" hidden="0" customWidth="1"/>
    <x:col min="6" max="6" width="16" hidden="0" customWidth="1"/>
    <x:col min="7" max="7" width="16" hidden="0" customWidth="1"/>
    <x:col min="8" max="8" width="13" hidden="0" customWidth="1"/>
    <x:col min="9" max="9" width="16" hidden="0" customWidth="1"/>
    <x:col min="10" max="10" width="15" hidden="0" customWidth="1"/>
    <x:col min="11" max="11" width="18" hidden="0" customWidth="1"/>
    <x:col min="12" max="12" width="22" hidden="0" customWidth="1"/>
    <x:col min="13" max="13" width="29" hidden="0" customWidth="1"/>
    <x:col min="14" max="14" width="14" hidden="0" customWidth="1"/>
    <x:col min="15" max="15" width="28" hidden="0" customWidth="1"/>
    <x:col min="16" max="16" width="15" hidden="0" customWidth="1"/>
    <x:col min="17" max="17" width="30" hidden="0" customWidth="1"/>
    <x:col min="18" max="18" width="35" hidden="0" customWidth="1"/>
    <x:col min="19" max="19" width="13" hidden="0" customWidth="1"/>
    <x:col min="20" max="20" width="55" hidden="0" customWidth="1"/>
  </x:cols>
  <x:sheetData>
    <x:row r="1" ht="30" customHeight="1">
      <x:c r="A1" s="6" t="str">
        <x:v>Competitor</x:v>
      </x:c>
      <x:c r="B1" s="6" t="str">
        <x:v>Primary target</x:v>
      </x:c>
      <x:c r="C1" s="6" t="str">
        <x:v>Public price observed</x:v>
      </x:c>
      <x:c r="D1" s="6" t="str">
        <x:v>Trial / entry</x:v>
      </x:c>
      <x:c r="E1" s="6" t="str">
        <x:v>Bangla-ready</x:v>
      </x:c>
      <x:c r="F1" s="6" t="str">
        <x:v>TrxID workflow</x:v>
      </x:c>
      <x:c r="G1" s="6" t="str">
        <x:v>Courier</x:v>
      </x:c>
      <x:c r="H1" s="6" t="str">
        <x:v>Fraud</x:v>
      </x:c>
      <x:c r="I1" s="6" t="str">
        <x:v>POS / inventory</x:v>
      </x:c>
      <x:c r="J1" s="6" t="str">
        <x:v>Store builder</x:v>
      </x:c>
      <x:c r="K1" s="6" t="str">
        <x:v>Mobile-first admin</x:v>
      </x:c>
      <x:c r="L1" s="6" t="str">
        <x:v>Support channel</x:v>
      </x:c>
      <x:c r="M1" s="6" t="str">
        <x:v>Main angle</x:v>
      </x:c>
      <x:c r="N1" s="6" t="str">
        <x:v>FB followers</x:v>
      </x:c>
      <x:c r="O1" s="6" t="str">
        <x:v>Recent visible cadence</x:v>
      </x:c>
      <x:c r="P1" s="6" t="str">
        <x:v>Active Meta ads</x:v>
      </x:c>
      <x:c r="Q1" s="6" t="str">
        <x:v>Strengths</x:v>
      </x:c>
      <x:c r="R1" s="6" t="str">
        <x:v>Observable weakness</x:v>
      </x:c>
      <x:c r="S1" s="6" t="str">
        <x:v>Label</x:v>
      </x:c>
      <x:c r="T1" s="6" t="str">
        <x:v>Source URL(s)</x:v>
      </x:c>
    </x:row>
    <x:row r="2">
      <x:c r="A2" s="4" t="str">
        <x:v>StoreX</x:v>
      </x:c>
      <x:c r="B2" s="4" t="str">
        <x:v>Broad SME ecommerce</x:v>
      </x:c>
      <x:c r="C2" s="4" t="str">
        <x:v>৳5,000 / 2 years special; annual plans ৳11,880–৳59,880</x:v>
      </x:c>
      <x:c r="D2" s="4" t="str">
        <x:v>Special offer + annual</x:v>
      </x:c>
      <x:c r="E2" s="4" t="str">
        <x:v>Yes</x:v>
      </x:c>
      <x:c r="F2" s="4" t="str">
        <x:v>Claimed</x:v>
      </x:c>
      <x:c r="G2" s="4" t="str">
        <x:v>Yes</x:v>
      </x:c>
      <x:c r="H2" s="4" t="str">
        <x:v>Yes</x:v>
      </x:c>
      <x:c r="I2" s="4" t="str">
        <x:v>Not found</x:v>
      </x:c>
      <x:c r="J2" s="4" t="str">
        <x:v>Yes</x:v>
      </x:c>
      <x:c r="K2" s="4" t="str">
        <x:v>Claimed</x:v>
      </x:c>
      <x:c r="L2" s="4" t="str">
        <x:v>Not found</x:v>
      </x:c>
      <x:c r="M2" s="4" t="str">
        <x:v>Automation + fraud prevention</x:v>
      </x:c>
      <x:c r="N2" s="4" t="str">
        <x:v>20K</x:v>
      </x:c>
      <x:c r="O2" s="4" t="str">
        <x:v>≥5 visible posts in ~3 days</x:v>
      </x:c>
      <x:c r="P2" s="4" t="str">
        <x:v>0</x:v>
      </x:c>
      <x:c r="Q2" s="4" t="str">
        <x:v>Pricing depth; active education</x:v>
      </x:c>
      <x:c r="R2" s="4" t="str">
        <x:v>Aggressive claims require verification</x:v>
      </x:c>
      <x:c r="S2" s="4" t="str">
        <x:v>FACT</x:v>
      </x:c>
      <x:c r="T2" s="4" t="str">
        <x:v>https://storex.com.bd/pricing | https://www.facebook.com/StoreXeCommerceAutomation</x:v>
      </x:c>
    </x:row>
    <x:row r="3">
      <x:c r="A3" s="4" t="str">
        <x:v>Zatiq</x:v>
      </x:c>
      <x:c r="B3" s="4" t="str">
        <x:v>Social sellers to SMEs</x:v>
      </x:c>
      <x:c r="C3" s="4" t="str">
        <x:v>Free; ৳599 / ৳1,099 / ৳2,499 monthly</x:v>
      </x:c>
      <x:c r="D3" s="4" t="str">
        <x:v>3 days</x:v>
      </x:c>
      <x:c r="E3" s="4" t="str">
        <x:v>Yes</x:v>
      </x:c>
      <x:c r="F3" s="4" t="str">
        <x:v>Not found</x:v>
      </x:c>
      <x:c r="G3" s="4" t="str">
        <x:v>From Starter</x:v>
      </x:c>
      <x:c r="H3" s="4" t="str">
        <x:v>Not found</x:v>
      </x:c>
      <x:c r="I3" s="4" t="str">
        <x:v>Not found</x:v>
      </x:c>
      <x:c r="J3" s="4" t="str">
        <x:v>Yes</x:v>
      </x:c>
      <x:c r="K3" s="4" t="str">
        <x:v>Claimed</x:v>
      </x:c>
      <x:c r="L3" s="4" t="str">
        <x:v>Not found</x:v>
      </x:c>
      <x:c r="M3" s="4" t="str">
        <x:v>Accessible start + operations</x:v>
      </x:c>
      <x:c r="N3" s="4" t="str">
        <x:v>122K</x:v>
      </x:c>
      <x:c r="O3" s="4" t="str">
        <x:v>Latest visible reel 5h ago</x:v>
      </x:c>
      <x:c r="P3" s="4" t="str">
        <x:v>0</x:v>
      </x:c>
      <x:c r="Q3" s="4" t="str">
        <x:v>Freemium ladder; large audience</x:v>
      </x:c>
      <x:c r="R3" s="4" t="str">
        <x:v>Free-tier transaction fees; proof depth unclear</x:v>
      </x:c>
      <x:c r="S3" s="4" t="str">
        <x:v>FACT</x:v>
      </x:c>
      <x:c r="T3" s="4" t="str">
        <x:v>https://zatiqeasy.com/pricing | https://facebook.com/Zatiqglobal/</x:v>
      </x:c>
    </x:row>
    <x:row r="4">
      <x:c r="A4" s="4" t="str">
        <x:v>Sellsull</x:v>
      </x:c>
      <x:c r="B4" s="4" t="str">
        <x:v>Price-sensitive sellers</x:v>
      </x:c>
      <x:c r="C4" s="4" t="str">
        <x:v>Free; ৳500 / ৳1,500 monthly; ৳60,000 lifetime</x:v>
      </x:c>
      <x:c r="D4" s="4" t="str">
        <x:v>Not found</x:v>
      </x:c>
      <x:c r="E4" s="4" t="str">
        <x:v>Yes</x:v>
      </x:c>
      <x:c r="F4" s="4" t="str">
        <x:v>Not found</x:v>
      </x:c>
      <x:c r="G4" s="4" t="str">
        <x:v>Yes</x:v>
      </x:c>
      <x:c r="H4" s="4" t="str">
        <x:v>Yes</x:v>
      </x:c>
      <x:c r="I4" s="4" t="str">
        <x:v>Claimed</x:v>
      </x:c>
      <x:c r="J4" s="4" t="str">
        <x:v>Yes</x:v>
      </x:c>
      <x:c r="K4" s="4" t="str">
        <x:v>Claimed</x:v>
      </x:c>
      <x:c r="L4" s="4" t="str">
        <x:v>Not found</x:v>
      </x:c>
      <x:c r="M4" s="4" t="str">
        <x:v>Low price + feature breadth</x:v>
      </x:c>
      <x:c r="N4" s="4" t="str">
        <x:v>24K</x:v>
      </x:c>
      <x:c r="O4" s="4" t="str">
        <x:v>Latest visible reel 10h ago</x:v>
      </x:c>
      <x:c r="P4" s="4" t="str">
        <x:v>0</x:v>
      </x:c>
      <x:c r="Q4" s="4" t="str">
        <x:v>Clear low-price anchor</x:v>
      </x:c>
      <x:c r="R4" s="4" t="str">
        <x:v>Latest visible post had low engagement</x:v>
      </x:c>
      <x:c r="S4" s="4" t="str">
        <x:v>FACT</x:v>
      </x:c>
      <x:c r="T4" s="4" t="str">
        <x:v>https://sellsull.com/ | https://www.facebook.com/sellsull.ecommerce</x:v>
      </x:c>
    </x:row>
    <x:row r="5">
      <x:c r="A5" s="4" t="str">
        <x:v>SeloraX</x:v>
      </x:c>
      <x:c r="B5" s="4" t="str">
        <x:v>Teams seeking automation</x:v>
      </x:c>
      <x:c r="C5" s="4" t="str">
        <x:v>৳1,499 / ৳2,999 monthly and higher tiers</x:v>
      </x:c>
      <x:c r="D5" s="4" t="str">
        <x:v>7-day money-back</x:v>
      </x:c>
      <x:c r="E5" s="4" t="str">
        <x:v>Yes</x:v>
      </x:c>
      <x:c r="F5" s="4" t="str">
        <x:v>Not found</x:v>
      </x:c>
      <x:c r="G5" s="4" t="str">
        <x:v>4 couriers</x:v>
      </x:c>
      <x:c r="H5" s="4" t="str">
        <x:v>Yes</x:v>
      </x:c>
      <x:c r="I5" s="4" t="str">
        <x:v>Not found</x:v>
      </x:c>
      <x:c r="J5" s="4" t="str">
        <x:v>From Starter</x:v>
      </x:c>
      <x:c r="K5" s="4" t="str">
        <x:v>Claimed</x:v>
      </x:c>
      <x:c r="L5" s="4" t="str">
        <x:v>Not found</x:v>
      </x:c>
      <x:c r="M5" s="4" t="str">
        <x:v>AI agent + workflow automation</x:v>
      </x:c>
      <x:c r="N5" s="4" t="str">
        <x:v>3.2K</x:v>
      </x:c>
      <x:c r="O5" s="4" t="str">
        <x:v>Latest visible reel 13h ago</x:v>
      </x:c>
      <x:c r="P5" s="4" t="str">
        <x:v>0</x:v>
      </x:c>
      <x:c r="Q5" s="4" t="str">
        <x:v>Distinct AI operations angle</x:v>
      </x:c>
      <x:c r="R5" s="4" t="str">
        <x:v>Higher entry price; scale claims vendor-supplied</x:v>
      </x:c>
      <x:c r="S5" s="4" t="str">
        <x:v>FACT</x:v>
      </x:c>
      <x:c r="T5" s="4" t="str">
        <x:v>https://selorax.io/pricing | https://www.facebook.com/selorax.io</x:v>
      </x:c>
    </x:row>
    <x:row r="6">
      <x:c r="A6" s="4" t="str">
        <x:v>FrameX Tech</x:v>
      </x:c>
      <x:c r="B6" s="4" t="str">
        <x:v>Starter to agencies</x:v>
      </x:c>
      <x:c r="C6" s="4" t="str">
        <x:v>Free; ৳599 / ৳999 / ৳2,499 monthly</x:v>
      </x:c>
      <x:c r="D6" s="4" t="str">
        <x:v>Free tier</x:v>
      </x:c>
      <x:c r="E6" s="4" t="str">
        <x:v>Yes</x:v>
      </x:c>
      <x:c r="F6" s="4" t="str">
        <x:v>Not found</x:v>
      </x:c>
      <x:c r="G6" s="4" t="str">
        <x:v>Claimed</x:v>
      </x:c>
      <x:c r="H6" s="4" t="str">
        <x:v>Yes</x:v>
      </x:c>
      <x:c r="I6" s="4" t="str">
        <x:v>Not found</x:v>
      </x:c>
      <x:c r="J6" s="4" t="str">
        <x:v>Yes</x:v>
      </x:c>
      <x:c r="K6" s="4" t="str">
        <x:v>Claimed</x:v>
      </x:c>
      <x:c r="L6" s="4" t="str">
        <x:v>Not found</x:v>
      </x:c>
      <x:c r="M6" s="4" t="str">
        <x:v>Broad local feature bundle</x:v>
      </x:c>
      <x:c r="N6" s="4" t="str">
        <x:v>2.2K</x:v>
      </x:c>
      <x:c r="O6" s="4" t="str">
        <x:v>Latest visible reel 8 days ago</x:v>
      </x:c>
      <x:c r="P6" s="4" t="str">
        <x:v>0</x:v>
      </x:c>
      <x:c r="Q6" s="4" t="str">
        <x:v>Competitive free and paid tiers</x:v>
      </x:c>
      <x:c r="R6" s="4" t="str">
        <x:v>Public posting cadence appeared lighter</x:v>
      </x:c>
      <x:c r="S6" s="4" t="str">
        <x:v>FACT</x:v>
      </x:c>
      <x:c r="T6" s="4" t="str">
        <x:v>https://framextech.com/pricing | https://www.facebook.com/framextech</x:v>
      </x:c>
    </x:row>
    <x:row r="7">
      <x:c r="A7" s="4" t="str">
        <x:v>ShopZero</x:v>
      </x:c>
      <x:c r="B7" s="4" t="str">
        <x:v>Merchants wanting help</x:v>
      </x:c>
      <x:c r="C7" s="4" t="str">
        <x:v>৳999 / ৳2,499 / ৳5,999 monthly</x:v>
      </x:c>
      <x:c r="D7" s="4" t="str">
        <x:v>Free trial</x:v>
      </x:c>
      <x:c r="E7" s="4" t="str">
        <x:v>Yes</x:v>
      </x:c>
      <x:c r="F7" s="4" t="str">
        <x:v>Not found</x:v>
      </x:c>
      <x:c r="G7" s="4" t="str">
        <x:v>Claimed</x:v>
      </x:c>
      <x:c r="H7" s="4" t="str">
        <x:v>Not found</x:v>
      </x:c>
      <x:c r="I7" s="4" t="str">
        <x:v>Not found</x:v>
      </x:c>
      <x:c r="J7" s="4" t="str">
        <x:v>Claimed</x:v>
      </x:c>
      <x:c r="K7" s="4" t="str">
        <x:v>Claimed</x:v>
      </x:c>
      <x:c r="L7" s="4" t="str">
        <x:v>Human-assisted setup</x:v>
      </x:c>
      <x:c r="M7" s="4" t="str">
        <x:v>Human setup + local integrations</x:v>
      </x:c>
      <x:c r="N7" s="4" t="str">
        <x:v>556</x:v>
      </x:c>
      <x:c r="O7" s="4" t="str">
        <x:v>Latest visible post 1d ago</x:v>
      </x:c>
      <x:c r="P7" s="4" t="str">
        <x:v>0</x:v>
      </x:c>
      <x:c r="Q7" s="4" t="str">
        <x:v>Assisted implementation</x:v>
      </x:c>
      <x:c r="R7" s="4" t="str">
        <x:v>Product caps and optional setup fee</x:v>
      </x:c>
      <x:c r="S7" s="4" t="str">
        <x:v>FACT</x:v>
      </x:c>
      <x:c r="T7" s="4" t="str">
        <x:v>https://shopzero.bd/ | https://www.facebook.com/shopzero.bd</x:v>
      </x:c>
    </x:row>
    <x:row r="8">
      <x:c r="A8" s="4" t="str">
        <x:v>Shopify</x:v>
      </x:c>
      <x:c r="B8" s="4" t="str">
        <x:v>Global SMB to enterprise</x:v>
      </x:c>
      <x:c r="C8" s="4" t="str">
        <x:v>$29 yearly-billed / $39 monthly Basic</x:v>
      </x:c>
      <x:c r="D8" s="4" t="str">
        <x:v>3 days + $1/mo for 3 months</x:v>
      </x:c>
      <x:c r="E8" s="4" t="str">
        <x:v>Via themes/apps</x:v>
      </x:c>
      <x:c r="F8" s="4" t="str">
        <x:v>Via apps</x:v>
      </x:c>
      <x:c r="G8" s="4" t="str">
        <x:v>Via apps</x:v>
      </x:c>
      <x:c r="H8" s="4" t="str">
        <x:v>Via apps</x:v>
      </x:c>
      <x:c r="I8" s="4" t="str">
        <x:v>Yes</x:v>
      </x:c>
      <x:c r="J8" s="4" t="str">
        <x:v>Yes</x:v>
      </x:c>
      <x:c r="K8" s="4" t="str">
        <x:v>Yes</x:v>
      </x:c>
      <x:c r="L8" s="4" t="str">
        <x:v>Plan-dependent support</x:v>
      </x:c>
      <x:c r="M8" s="4" t="str">
        <x:v>Global ecosystem</x:v>
      </x:c>
      <x:c r="N8" s="4" t="str">
        <x:v>4.5M</x:v>
      </x:c>
      <x:c r="O8" s="4" t="str">
        <x:v>Logged-out page surfaced a pinned 2022 post; current cadence not measurable</x:v>
      </x:c>
      <x:c r="P8" s="4" t="str">
        <x:v>Not collected</x:v>
      </x:c>
      <x:c r="Q8" s="4" t="str">
        <x:v>Mature ecosystem and documentation</x:v>
      </x:c>
      <x:c r="R8" s="4" t="str">
        <x:v>Dollar billing; local-stack fit needs validation</x:v>
      </x:c>
      <x:c r="S8" s="4" t="str">
        <x:v>FACT</x:v>
      </x:c>
      <x:c r="T8" s="4" t="str">
        <x:v>https://www.shopify.com/pricing | https://www.facebook.com/shopify</x:v>
      </x:c>
    </x:row>
    <x:row r="9">
      <x:c r="A9" s="4" t="str">
        <x:v>WooCommerce + agency</x:v>
      </x:c>
      <x:c r="B9" s="4" t="str">
        <x:v>Control-oriented merchants</x:v>
      </x:c>
      <x:c r="C9" s="4" t="str">
        <x:v>Free core; hosting commonly estimated $25–$350/mo; extensions $29–$299/yr</x:v>
      </x:c>
      <x:c r="D9" s="4" t="str">
        <x:v>N/A</x:v>
      </x:c>
      <x:c r="E9" s="4" t="str">
        <x:v>Via setup</x:v>
      </x:c>
      <x:c r="F9" s="4" t="str">
        <x:v>Via plugins</x:v>
      </x:c>
      <x:c r="G9" s="4" t="str">
        <x:v>Via plugins</x:v>
      </x:c>
      <x:c r="H9" s="4" t="str">
        <x:v>Via plugins</x:v>
      </x:c>
      <x:c r="I9" s="4" t="str">
        <x:v>Via plugins</x:v>
      </x:c>
      <x:c r="J9" s="4" t="str">
        <x:v>Yes</x:v>
      </x:c>
      <x:c r="K9" s="4" t="str">
        <x:v>Depends on build</x:v>
      </x:c>
      <x:c r="L9" s="4" t="str">
        <x:v>Agency/host dependent</x:v>
      </x:c>
      <x:c r="M9" s="4" t="str">
        <x:v>Ownership and flexibility</x:v>
      </x:c>
      <x:c r="N9" s="4" t="str">
        <x:v>213K official Woo page</x:v>
      </x:c>
      <x:c r="O9" s="4" t="str">
        <x:v>Latest visible official Woo post ~1d ago</x:v>
      </x:c>
      <x:c r="P9" s="4" t="str">
        <x:v>N/A: agency advertiser varies</x:v>
      </x:c>
      <x:c r="Q9" s="4" t="str">
        <x:v>Open source; no core revenue share</x:v>
      </x:c>
      <x:c r="R9" s="4" t="str">
        <x:v>Maintenance and agency cost vary</x:v>
      </x:c>
      <x:c r="S9" s="4" t="str">
        <x:v>FACT</x:v>
      </x:c>
      <x:c r="T9" s="4" t="str">
        <x:v>https://woocommerce.com/pricing/ | https://www.facebook.com/woocommerce</x:v>
      </x:c>
    </x:row>
    <x:row r="10">
      <x:c r="A10" s="4" t="str">
        <x:v>Daraz</x:v>
      </x:c>
      <x:c r="B10" s="4" t="str">
        <x:v>Marketplace sellers</x:v>
      </x:c>
      <x:c r="C10" s="4" t="str">
        <x:v>Category commission; 0% for first 30 days for new sellers</x:v>
      </x:c>
      <x:c r="D10" s="4" t="str">
        <x:v>Onboarding offer</x:v>
      </x:c>
      <x:c r="E10" s="4" t="str">
        <x:v>Yes</x:v>
      </x:c>
      <x:c r="F10" s="4" t="str">
        <x:v>Marketplace checkout</x:v>
      </x:c>
      <x:c r="G10" s="4" t="str">
        <x:v>Platform logistics</x:v>
      </x:c>
      <x:c r="H10" s="4" t="str">
        <x:v>Platform controls</x:v>
      </x:c>
      <x:c r="I10" s="4" t="str">
        <x:v>Seller tools</x:v>
      </x:c>
      <x:c r="J10" s="4" t="str">
        <x:v>No standalone store</x:v>
      </x:c>
      <x:c r="K10" s="4" t="str">
        <x:v>Seller app/portal</x:v>
      </x:c>
      <x:c r="L10" s="4" t="str">
        <x:v>Platform channels</x:v>
      </x:c>
      <x:c r="M10" s="4" t="str">
        <x:v>Marketplace demand access</x:v>
      </x:c>
      <x:c r="N10" s="4" t="str">
        <x:v>16M</x:v>
      </x:c>
      <x:c r="O10" s="4" t="str">
        <x:v>Latest visible consumer post ~5h ago</x:v>
      </x:c>
      <x:c r="P10" s="4" t="str">
        <x:v>Not collected</x:v>
      </x:c>
      <x:c r="Q10" s="4" t="str">
        <x:v>Built-in marketplace discovery</x:v>
      </x:c>
      <x:c r="R10" s="4" t="str">
        <x:v>Less brand/control; commission varies</x:v>
      </x:c>
      <x:c r="S10" s="4" t="str">
        <x:v>FACT</x:v>
      </x:c>
      <x:c r="T10" s="4" t="str">
        <x:v>https://www.daraz.com.bd/wow/i/bd/help-pages/sell-on-daraz | https://pages.daraz.com.bd/wow/i/bd/help-pages/marketplace-commission-structure?hybrid=1 | https://www.facebook.com/DarazBangladesh</x:v>
      </x:c>
    </x:row>
    <x:row r="11">
      <x:c r="A11" s="4" t="str">
        <x:v>Facebook/Instagram + chat + sheet</x:v>
      </x:c>
      <x:c r="B11" s="4" t="str">
        <x:v>Informal/social sellers</x:v>
      </x:c>
      <x:c r="C11" s="4" t="str">
        <x:v>Tool-dependent; often no storefront subscription</x:v>
      </x:c>
      <x:c r="D11" s="4" t="str">
        <x:v>N/A</x:v>
      </x:c>
      <x:c r="E11" s="4" t="str">
        <x:v>Yes</x:v>
      </x:c>
      <x:c r="F11" s="4" t="str">
        <x:v>Manual</x:v>
      </x:c>
      <x:c r="G11" s="4" t="str">
        <x:v>Manual</x:v>
      </x:c>
      <x:c r="H11" s="4" t="str">
        <x:v>Manual</x:v>
      </x:c>
      <x:c r="I11" s="4" t="str">
        <x:v>Manual</x:v>
      </x:c>
      <x:c r="J11" s="4" t="str">
        <x:v>No</x:v>
      </x:c>
      <x:c r="K11" s="4" t="str">
        <x:v>Phone-native</x:v>
      </x:c>
      <x:c r="L11" s="4" t="str">
        <x:v>Self-managed</x:v>
      </x:c>
      <x:c r="M11" s="4" t="str">
        <x:v>Familiar audience-first selling</x:v>
      </x:c>
      <x:c r="N11" s="4" t="str">
        <x:v>N/A</x:v>
      </x:c>
      <x:c r="O11" s="4" t="str">
        <x:v>N/A</x:v>
      </x:c>
      <x:c r="P11" s="4" t="str">
        <x:v>N/A</x:v>
      </x:c>
      <x:c r="Q11" s="4" t="str">
        <x:v>Low setup friction</x:v>
      </x:c>
      <x:c r="R11" s="4" t="str">
        <x:v>Fragmented orders, proof and reporting</x:v>
      </x:c>
      <x:c r="S11" s="4" t="str">
        <x:v>INFERENCE</x:v>
      </x:c>
      <x:c r="T11" s="4" t="str">
        <x:v>No single source; benchmark is the observed manual alternative</x:v>
      </x:c>
    </x:row>
  </x:sheetData>
  <x:pageMargins left="0.7" right="0.7" top="0.75" bottom="0.75" header="0.3" footer="0.3"/>
</x:worksheet>
</file>

<file path=xl/worksheets/sheet3.xml><?xml version="1.0" encoding="utf-8"?>
<x:worksheet xmlns:x="http://schemas.openxmlformats.org/spreadsheetml/2006/main">
  <x:sheetPr>
    <x:tabColor rgb="FF7C3AED"/>
  </x:sheetPr>
  <x:sheetViews>
    <x:sheetView showGridLines="0" workbookViewId="0">
      <x:pane ySplit="1" topLeftCell="A2" activePane="bottomLeft" state="frozen"/>
    </x:sheetView>
  </x:sheetViews>
  <x:sheetFormatPr defaultRowHeight="15"/>
  <x:cols>
    <x:col min="1" max="1" width="20" hidden="0" customWidth="1"/>
    <x:col min="2" max="2" width="19" hidden="0" customWidth="1"/>
    <x:col min="3" max="3" width="22" hidden="0" customWidth="1"/>
    <x:col min="4" max="4" width="17" hidden="0" customWidth="1"/>
    <x:col min="5" max="5" width="48" hidden="0" customWidth="1"/>
    <x:col min="6" max="6" width="18" hidden="0" customWidth="1"/>
    <x:col min="7" max="7" width="24" hidden="0" customWidth="1"/>
    <x:col min="8" max="8" width="12" hidden="0" customWidth="1"/>
    <x:col min="9" max="9" width="12" hidden="0" customWidth="1"/>
    <x:col min="10" max="10" width="12" hidden="0" customWidth="1"/>
    <x:col min="11" max="11" width="12" hidden="0" customWidth="1"/>
    <x:col min="12" max="12" width="33" hidden="0" customWidth="1"/>
    <x:col min="13" max="13" width="48" hidden="0" customWidth="1"/>
    <x:col min="14" max="14" width="12" hidden="0" customWidth="1"/>
    <x:col min="15" max="15" width="37" hidden="0" customWidth="1"/>
  </x:cols>
  <x:sheetData>
    <x:row r="1" ht="30" customHeight="1">
      <x:c r="A1" s="6" t="str">
        <x:v>Competitor</x:v>
      </x:c>
      <x:c r="B1" s="6" t="str">
        <x:v>Post/observation date</x:v>
      </x:c>
      <x:c r="C1" s="6" t="str">
        <x:v>Recency</x:v>
      </x:c>
      <x:c r="D1" s="6" t="str">
        <x:v>Format</x:v>
      </x:c>
      <x:c r="E1" s="6" t="str">
        <x:v>Hook / visible topic</x:v>
      </x:c>
      <x:c r="F1" s="6" t="str">
        <x:v>CTA</x:v>
      </x:c>
      <x:c r="G1" s="6" t="str">
        <x:v>Pillar</x:v>
      </x:c>
      <x:c r="H1" s="6" t="str">
        <x:v>Language</x:v>
      </x:c>
      <x:c r="I1" s="6" t="str">
        <x:v>Reactions</x:v>
      </x:c>
      <x:c r="J1" s="6" t="str">
        <x:v>Comments</x:v>
      </x:c>
      <x:c r="K1" s="6" t="str">
        <x:v>Shares</x:v>
      </x:c>
      <x:c r="L1" s="6" t="str">
        <x:v>Response / note</x:v>
      </x:c>
      <x:c r="M1" s="6" t="str">
        <x:v>Post/page URL</x:v>
      </x:c>
      <x:c r="N1" s="6" t="str">
        <x:v>Label</x:v>
      </x:c>
      <x:c r="O1" s="6" t="str">
        <x:v>Boundary</x:v>
      </x:c>
    </x:row>
    <x:row r="2">
      <x:c r="A2" s="4" t="str">
        <x:v>StoreX</x:v>
      </x:c>
      <x:c r="B2" s="4" t="str">
        <x:v>2026-10-16</x:v>
      </x:c>
      <x:c r="C2" s="4" t="str">
        <x:v>~4h before observation</x:v>
      </x:c>
      <x:c r="D2" s="4" t="str">
        <x:v>Static/post</x:v>
      </x:c>
      <x:c r="E2" s="4" t="str">
        <x:v>Fake Order ! Cancel Order ! …</x:v>
      </x:c>
      <x:c r="F2" s="4" t="str">
        <x:v>WhatsApp</x:v>
      </x:c>
      <x:c r="G2" s="4" t="str">
        <x:v>Fraud / loss prevention</x:v>
      </x:c>
      <x:c r="H2" s="4" t="str">
        <x:v>Bangla</x:v>
      </x:c>
      <x:c r="I2" s="4" t="n">
        <x:v>7</x:v>
      </x:c>
      <x:c r="J2" s="4" t="n">
        <x:v>1</x:v>
      </x:c>
      <x:c r="K2" s="4" t="n">
        <x:v>1</x:v>
      </x:c>
      <x:c r="L2" s="4" t="str">
        <x:v>AI-content label visible</x:v>
      </x:c>
      <x:c r="M2" s="4" t="str">
        <x:v>https://www.facebook.com/StoreXeCommerceAutomation/posts/pfbid0mKgD7YP6BT5iB7729u6UimcjbzELWaxycnzUtmtT4WPArzwEq4okLvobniR5P1Del</x:v>
      </x:c>
      <x:c r="N2" s="4" t="str">
        <x:v>FACT</x:v>
      </x:c>
      <x:c r="O2" s="4" t="str">
        <x:v>Point-in-time logged-out view</x:v>
      </x:c>
    </x:row>
    <x:row r="3">
      <x:c r="A3" s="4" t="str">
        <x:v>StoreX</x:v>
      </x:c>
      <x:c r="B3" s="4" t="str">
        <x:v>2026-10-16</x:v>
      </x:c>
      <x:c r="C3" s="4" t="str">
        <x:v>~16h before observation</x:v>
      </x:c>
      <x:c r="D3" s="4" t="str">
        <x:v>Static/post</x:v>
      </x:c>
      <x:c r="E3" s="4" t="str">
        <x:v>আপনার ই-কমার্স বিজনেসে সবকিছু আছে, কিন্তু সবকিছু কি একসাথে কাজ করছে?</x:v>
      </x:c>
      <x:c r="F3" s="4" t="str">
        <x:v>Not displayed</x:v>
      </x:c>
      <x:c r="G3" s="4" t="str">
        <x:v>Connected operations</x:v>
      </x:c>
      <x:c r="H3" s="4" t="str">
        <x:v>Bangla</x:v>
      </x:c>
      <x:c r="I3" s="4" t="n">
        <x:v>1</x:v>
      </x:c>
      <x:c r="J3" s="4" t="str">
        <x:v>Not displayed</x:v>
      </x:c>
      <x:c r="K3" s="4" t="str">
        <x:v>Not displayed</x:v>
      </x:c>
      <x:c r="L3" s="4" t="str">
        <x:v>Second visible post</x:v>
      </x:c>
      <x:c r="M3" s="4" t="str">
        <x:v>https://www.facebook.com/StoreXeCommerceAutomation/posts/pfbid02mgyNAJwBTd4Sy7RJAPHeyshjWSbmuRGcJ1JzquzpNEvkdpcp1Mkfq85G1F5eHxaql</x:v>
      </x:c>
      <x:c r="N3" s="4" t="str">
        <x:v>FACT</x:v>
      </x:c>
      <x:c r="O3" s="4" t="str">
        <x:v>Point-in-time logged-out view</x:v>
      </x:c>
    </x:row>
    <x:row r="4">
      <x:c r="A4" s="4" t="str">
        <x:v>StoreX</x:v>
      </x:c>
      <x:c r="B4" s="4" t="str">
        <x:v>2026-10-16</x:v>
      </x:c>
      <x:c r="C4" s="4" t="str">
        <x:v>~1d before observation</x:v>
      </x:c>
      <x:c r="D4" s="4" t="str">
        <x:v>Static/post</x:v>
      </x:c>
      <x:c r="E4" s="4" t="str">
        <x:v>বিজনেসে অর্ডার বাড়ছে, কিন্তু গ্রোথ কি সত্যিই হচ্ছে?</x:v>
      </x:c>
      <x:c r="F4" s="4" t="str">
        <x:v>Not displayed</x:v>
      </x:c>
      <x:c r="G4" s="4" t="str">
        <x:v>Growth / profitability</x:v>
      </x:c>
      <x:c r="H4" s="4" t="str">
        <x:v>Bangla</x:v>
      </x:c>
      <x:c r="I4" s="4" t="n">
        <x:v>2</x:v>
      </x:c>
      <x:c r="J4" s="4" t="str">
        <x:v>Not displayed</x:v>
      </x:c>
      <x:c r="K4" s="4" t="str">
        <x:v>Not displayed</x:v>
      </x:c>
      <x:c r="L4" s="4" t="str">
        <x:v>Third visible post</x:v>
      </x:c>
      <x:c r="M4" s="4" t="str">
        <x:v>https://www.facebook.com/StoreXeCommerceAutomation/posts/pfbid0RvhnH6VktJYgoY8ymieHz1XFTNTRvimYAPhSRE8QnF4zbcGfg5UeCT8H7mhFcaczl</x:v>
      </x:c>
      <x:c r="N4" s="4" t="str">
        <x:v>FACT</x:v>
      </x:c>
      <x:c r="O4" s="4" t="str">
        <x:v>Point-in-time logged-out view</x:v>
      </x:c>
    </x:row>
    <x:row r="5">
      <x:c r="A5" s="4" t="str">
        <x:v>Zatiq</x:v>
      </x:c>
      <x:c r="B5" s="4" t="str">
        <x:v>2026-10-16</x:v>
      </x:c>
      <x:c r="C5" s="4" t="str">
        <x:v>~7h before observation</x:v>
      </x:c>
      <x:c r="D5" s="4" t="str">
        <x:v>Reel</x:v>
      </x:c>
      <x:c r="E5" s="4" t="str">
        <x:v>Cart-এ Product যোগ করেও অনেক Customer Order সম্পন্ন করছেন না?</x:v>
      </x:c>
      <x:c r="F5" s="4" t="str">
        <x:v>Not displayed</x:v>
      </x:c>
      <x:c r="G5" s="4" t="str">
        <x:v>Abandoned-cart recovery</x:v>
      </x:c>
      <x:c r="H5" s="4" t="str">
        <x:v>Bangla</x:v>
      </x:c>
      <x:c r="I5" s="4" t="n">
        <x:v>30</x:v>
      </x:c>
      <x:c r="J5" s="4" t="n">
        <x:v>2</x:v>
      </x:c>
      <x:c r="K5" s="4" t="str">
        <x:v>Not displayed</x:v>
      </x:c>
      <x:c r="L5" s="4" t="str">
        <x:v>Page replied after ~5h</x:v>
      </x:c>
      <x:c r="M5" s="4" t="str">
        <x:v>https://www.facebook.com/reel/1104909985524121/</x:v>
      </x:c>
      <x:c r="N5" s="4" t="str">
        <x:v>FACT</x:v>
      </x:c>
      <x:c r="O5" s="4" t="str">
        <x:v>Point-in-time logged-out view</x:v>
      </x:c>
    </x:row>
    <x:row r="6">
      <x:c r="A6" s="4" t="str">
        <x:v>Zatiq</x:v>
      </x:c>
      <x:c r="B6" s="4" t="str">
        <x:v>2026-10-16</x:v>
      </x:c>
      <x:c r="C6" s="4" t="str">
        <x:v>~11h before observation</x:v>
      </x:c>
      <x:c r="D6" s="4" t="str">
        <x:v>Static image</x:v>
      </x:c>
      <x:c r="E6" s="4" t="str">
        <x:v>আপনার অনলাইন স্টোর, অর্ডার ও পেমেন্ট—সবকিছু এক জায়গায়!</x:v>
      </x:c>
      <x:c r="F6" s="4" t="str">
        <x:v>Not displayed</x:v>
      </x:c>
      <x:c r="G6" s="4" t="str">
        <x:v>All-in-one operations</x:v>
      </x:c>
      <x:c r="H6" s="4" t="str">
        <x:v>Bangla</x:v>
      </x:c>
      <x:c r="I6" s="4" t="n">
        <x:v>11</x:v>
      </x:c>
      <x:c r="J6" s="4" t="n">
        <x:v>1</x:v>
      </x:c>
      <x:c r="K6" s="4" t="n">
        <x:v>1</x:v>
      </x:c>
      <x:c r="L6" s="4" t="str">
        <x:v>Page answered price/promo objection</x:v>
      </x:c>
      <x:c r="M6" s="4" t="str">
        <x:v>https://www.facebook.com/Zatiqglobal/posts/pfbid031C7pFe92oD3eVNt3NL1ZVG2QqVJkuz7wAH7hSLvwGMfgthvL7KNWDZPaoPcfDaYHl</x:v>
      </x:c>
      <x:c r="N6" s="4" t="str">
        <x:v>FACT</x:v>
      </x:c>
      <x:c r="O6" s="4" t="str">
        <x:v>Point-in-time logged-out view</x:v>
      </x:c>
    </x:row>
    <x:row r="7">
      <x:c r="A7" s="4" t="str">
        <x:v>Zatiq</x:v>
      </x:c>
      <x:c r="B7" s="4" t="str">
        <x:v>2026-10-16</x:v>
      </x:c>
      <x:c r="C7" s="4" t="str">
        <x:v>~1d before observation</x:v>
      </x:c>
      <x:c r="D7" s="4" t="str">
        <x:v>Reel</x:v>
      </x:c>
      <x:c r="E7" s="4" t="str">
        <x:v>Order, Payment, Delivery—সবকিছুর আপডেট নিতে বারবার আলাদা অ্যাপ খুলতে হচ্ছে?</x:v>
      </x:c>
      <x:c r="F7" s="4" t="str">
        <x:v>Messenger / onboarding link</x:v>
      </x:c>
      <x:c r="G7" s="4" t="str">
        <x:v>Unified business management</x:v>
      </x:c>
      <x:c r="H7" s="4" t="str">
        <x:v>Bangla</x:v>
      </x:c>
      <x:c r="I7" s="4" t="n">
        <x:v>121</x:v>
      </x:c>
      <x:c r="J7" s="4" t="n">
        <x:v>60</x:v>
      </x:c>
      <x:c r="K7" s="4" t="n">
        <x:v>2</x:v>
      </x:c>
      <x:c r="L7" s="4" t="str">
        <x:v>Highest visible engagement in captured Zatiq sample</x:v>
      </x:c>
      <x:c r="M7" s="4" t="str">
        <x:v>https://www.facebook.com/reel/28890508717276018/</x:v>
      </x:c>
      <x:c r="N7" s="4" t="str">
        <x:v>FACT</x:v>
      </x:c>
      <x:c r="O7" s="4" t="str">
        <x:v>Point-in-time logged-out view</x:v>
      </x:c>
    </x:row>
    <x:row r="8">
      <x:c r="A8" s="4" t="str">
        <x:v>SeloraX</x:v>
      </x:c>
      <x:c r="B8" s="4" t="str">
        <x:v>2026-10-16</x:v>
      </x:c>
      <x:c r="C8" s="4" t="str">
        <x:v>~15h before observation</x:v>
      </x:c>
      <x:c r="D8" s="4" t="str">
        <x:v>Reel</x:v>
      </x:c>
      <x:c r="E8" s="4" t="str">
        <x:v>১৭ জন Moderator-এর এলোমেলো কাজ একাই কীভাবে সামলায় একটা AI Agent?</x:v>
      </x:c>
      <x:c r="F8" s="4" t="str">
        <x:v>Not displayed</x:v>
      </x:c>
      <x:c r="G8" s="4" t="str">
        <x:v>AI automation</x:v>
      </x:c>
      <x:c r="H8" s="4" t="str">
        <x:v>Bangla</x:v>
      </x:c>
      <x:c r="I8" s="4" t="n">
        <x:v>21</x:v>
      </x:c>
      <x:c r="J8" s="4" t="n">
        <x:v>1</x:v>
      </x:c>
      <x:c r="K8" s="4" t="str">
        <x:v>Not displayed</x:v>
      </x:c>
      <x:c r="L8" s="4" t="str">
        <x:v>Only one post exposed before login wall</x:v>
      </x:c>
      <x:c r="M8" s="4" t="str">
        <x:v>https://www.facebook.com/reel/2302605857220730/</x:v>
      </x:c>
      <x:c r="N8" s="4" t="str">
        <x:v>FACT</x:v>
      </x:c>
      <x:c r="O8" s="4" t="str">
        <x:v>Point-in-time logged-out view</x:v>
      </x:c>
    </x:row>
    <x:row r="9">
      <x:c r="A9" s="4" t="str">
        <x:v>Sellsull</x:v>
      </x:c>
      <x:c r="B9" s="4" t="str">
        <x:v>2026-10-16</x:v>
      </x:c>
      <x:c r="C9" s="4" t="str">
        <x:v>~13h before observation</x:v>
      </x:c>
      <x:c r="D9" s="4" t="str">
        <x:v>Reel</x:v>
      </x:c>
      <x:c r="E9" s="4" t="str">
        <x:v>Sellsull best ecommerce website builder in bangladesh</x:v>
      </x:c>
      <x:c r="F9" s="4" t="str">
        <x:v>Not displayed</x:v>
      </x:c>
      <x:c r="G9" s="4" t="str">
        <x:v>Broad product promotion</x:v>
      </x:c>
      <x:c r="H9" s="4" t="str">
        <x:v>English</x:v>
      </x:c>
      <x:c r="I9" s="4" t="n">
        <x:v>1</x:v>
      </x:c>
      <x:c r="J9" s="4" t="n">
        <x:v>1</x:v>
      </x:c>
      <x:c r="K9" s="4" t="str">
        <x:v>Not displayed</x:v>
      </x:c>
      <x:c r="L9" s="4" t="str">
        <x:v>Only one post exposed before login wall</x:v>
      </x:c>
      <x:c r="M9" s="4" t="str">
        <x:v>https://www.facebook.com/reel/1077335765292947/</x:v>
      </x:c>
      <x:c r="N9" s="4" t="str">
        <x:v>FACT</x:v>
      </x:c>
      <x:c r="O9" s="4" t="str">
        <x:v>Point-in-time logged-out view</x:v>
      </x:c>
    </x:row>
    <x:row r="10">
      <x:c r="A10" s="4" t="str">
        <x:v>FrameX Tech</x:v>
      </x:c>
      <x:c r="B10" s="4" t="str">
        <x:v>2026-10-08</x:v>
      </x:c>
      <x:c r="C10" s="4" t="str">
        <x:v>8 days before observation</x:v>
      </x:c>
      <x:c r="D10" s="4" t="str">
        <x:v>Reel</x:v>
      </x:c>
      <x:c r="E10" s="4" t="str">
        <x:v>অবশেষে আমরা আমাদের আপডেটগুলো শেষ করেছি।</x:v>
      </x:c>
      <x:c r="F10" s="4" t="str">
        <x:v>Not displayed</x:v>
      </x:c>
      <x:c r="G10" s="4" t="str">
        <x:v>Product relaunch / updates</x:v>
      </x:c>
      <x:c r="H10" s="4" t="str">
        <x:v>Bangla</x:v>
      </x:c>
      <x:c r="I10" s="4" t="n">
        <x:v>25</x:v>
      </x:c>
      <x:c r="J10" s="4" t="n">
        <x:v>2</x:v>
      </x:c>
      <x:c r="K10" s="4" t="n">
        <x:v>1</x:v>
      </x:c>
      <x:c r="L10" s="4" t="str">
        <x:v>Page replied to a product-data question</x:v>
      </x:c>
      <x:c r="M10" s="4" t="str">
        <x:v>https://www.facebook.com/reel/1897165791652305/</x:v>
      </x:c>
      <x:c r="N10" s="4" t="str">
        <x:v>FACT</x:v>
      </x:c>
      <x:c r="O10" s="4" t="str">
        <x:v>Point-in-time logged-out view</x:v>
      </x:c>
    </x:row>
    <x:row r="11">
      <x:c r="A11" s="4" t="str">
        <x:v>ShopZero</x:v>
      </x:c>
      <x:c r="B11" s="4" t="str">
        <x:v>2026-10-15</x:v>
      </x:c>
      <x:c r="C11" s="4" t="str">
        <x:v>~1d before observation</x:v>
      </x:c>
      <x:c r="D11" s="4" t="str">
        <x:v>Static image</x:v>
      </x:c>
      <x:c r="E11" s="4" t="str">
        <x:v>নিজের Storefront থাকলে ক্রেতা সরাসরি আপনার দোকানে আসেন…</x:v>
      </x:c>
      <x:c r="F11" s="4" t="str">
        <x:v>Not displayed</x:v>
      </x:c>
      <x:c r="G11" s="4" t="str">
        <x:v>Ownership / integrations</x:v>
      </x:c>
      <x:c r="H11" s="4" t="str">
        <x:v>Bangla</x:v>
      </x:c>
      <x:c r="I11" s="4" t="str">
        <x:v>Not displayed</x:v>
      </x:c>
      <x:c r="J11" s="4" t="str">
        <x:v>Not displayed</x:v>
      </x:c>
      <x:c r="K11" s="4" t="str">
        <x:v>Not displayed</x:v>
      </x:c>
      <x:c r="L11" s="4" t="str">
        <x:v>No engagement totals displayed</x:v>
      </x:c>
      <x:c r="M11" s="4" t="str">
        <x:v>https://www.facebook.com/shopzero.bd/posts/pfbid0TfHZqkcBukuCEbpxAYXkxXS3p1BhnYaWKXc8NotLAz7qXNMiESEFFJC5okZF4dUql</x:v>
      </x:c>
      <x:c r="N11" s="4" t="str">
        <x:v>FACT</x:v>
      </x:c>
      <x:c r="O11" s="4" t="str">
        <x:v>Absence of a displayed total is not zero</x:v>
      </x:c>
    </x:row>
    <x:row r="12">
      <x:c r="A12" s="4" t="str">
        <x:v>Shopify</x:v>
      </x:c>
      <x:c r="B12" s="4" t="str">
        <x:v>2022-06-22</x:v>
      </x:c>
      <x:c r="C12" s="4" t="str">
        <x:v>Pinned/old item surfaced</x:v>
      </x:c>
      <x:c r="D12" s="4" t="str">
        <x:v>Video</x:v>
      </x:c>
      <x:c r="E12" s="4" t="str">
        <x:v>Meet Shopify Editions</x:v>
      </x:c>
      <x:c r="F12" s="4" t="str">
        <x:v>Not displayed</x:v>
      </x:c>
      <x:c r="G12" s="4" t="str">
        <x:v>Platform releases</x:v>
      </x:c>
      <x:c r="H12" s="4" t="str">
        <x:v>English</x:v>
      </x:c>
      <x:c r="I12" s="4" t="str">
        <x:v>17K</x:v>
      </x:c>
      <x:c r="J12" s="4" t="str">
        <x:v>21.9K</x:v>
      </x:c>
      <x:c r="K12" s="4" t="str">
        <x:v>1.8K</x:v>
      </x:c>
      <x:c r="L12" s="4" t="str">
        <x:v>Not a current-cadence signal; logged-out page surfaced this old post</x:v>
      </x:c>
      <x:c r="M12" s="4" t="str">
        <x:v>https://www.facebook.com/shopify/videos/5168307313246614/</x:v>
      </x:c>
      <x:c r="N12" s="4" t="str">
        <x:v>FACT</x:v>
      </x:c>
      <x:c r="O12" s="4" t="str">
        <x:v>Non-comparable pinned/old surface</x:v>
      </x:c>
    </x:row>
    <x:row r="13">
      <x:c r="A13" s="4" t="str">
        <x:v>WooCommerce</x:v>
      </x:c>
      <x:c r="B13" s="4" t="str">
        <x:v>2026-10-15</x:v>
      </x:c>
      <x:c r="C13" s="4" t="str">
        <x:v>~1d before observation</x:v>
      </x:c>
      <x:c r="D13" s="4" t="str">
        <x:v>Static image</x:v>
      </x:c>
      <x:c r="E13" s="4" t="str">
        <x:v>Open source lets your store work the way your business does.</x:v>
      </x:c>
      <x:c r="F13" s="4" t="str">
        <x:v>Not displayed</x:v>
      </x:c>
      <x:c r="G13" s="4" t="str">
        <x:v>Open-source control</x:v>
      </x:c>
      <x:c r="H13" s="4" t="str">
        <x:v>English</x:v>
      </x:c>
      <x:c r="I13" s="4" t="n">
        <x:v>8</x:v>
      </x:c>
      <x:c r="J13" s="4" t="str">
        <x:v>Not displayed</x:v>
      </x:c>
      <x:c r="K13" s="4" t="str">
        <x:v>Not displayed</x:v>
      </x:c>
      <x:c r="L13" s="4" t="str">
        <x:v>Official Woo page; agency/freelancer layer still varies</x:v>
      </x:c>
      <x:c r="M13" s="4" t="str">
        <x:v>https://www.facebook.com/woocommerce/posts/pfbid02RvV5Uhj9SD3dgMWDT2A2GyQPP8AWjPq2hpMd5NauqGgwKHrnj4sPhpcDSu4qH2tml</x:v>
      </x:c>
      <x:c r="N13" s="4" t="str">
        <x:v>FACT</x:v>
      </x:c>
      <x:c r="O13" s="4" t="str">
        <x:v>Point-in-time logged-out view</x:v>
      </x:c>
    </x:row>
    <x:row r="14">
      <x:c r="A14" s="4" t="str">
        <x:v>Daraz</x:v>
      </x:c>
      <x:c r="B14" s="4" t="str">
        <x:v>2026-10-16</x:v>
      </x:c>
      <x:c r="C14" s="4" t="str">
        <x:v>~5h before observation</x:v>
      </x:c>
      <x:c r="D14" s="4" t="str">
        <x:v>Static image</x:v>
      </x:c>
      <x:c r="E14" s="4" t="str">
        <x:v>স্মার্ট শপিংয়ে বড় সেভিংস!</x:v>
      </x:c>
      <x:c r="F14" s="4" t="str">
        <x:v>Not displayed</x:v>
      </x:c>
      <x:c r="G14" s="4" t="str">
        <x:v>Consumer promotion / savings</x:v>
      </x:c>
      <x:c r="H14" s="4" t="str">
        <x:v>Bangla</x:v>
      </x:c>
      <x:c r="I14" s="4" t="n">
        <x:v>6</x:v>
      </x:c>
      <x:c r="J14" s="4" t="str">
        <x:v>Not displayed</x:v>
      </x:c>
      <x:c r="K14" s="4" t="str">
        <x:v>Not displayed</x:v>
      </x:c>
      <x:c r="L14" s="4" t="str">
        <x:v>Consumer marketplace page, not a seller-SaaS page</x:v>
      </x:c>
      <x:c r="M14" s="4" t="str">
        <x:v>https://www.facebook.com/DarazBangladesh/posts/pfbid02Gp8G2xgQ9F7yJAky7KE5NzCHPxHKzLEfvV9Wem1a3auoiFaZnpeZ2Ax19tfcoKnTl</x:v>
      </x:c>
      <x:c r="N14" s="4" t="str">
        <x:v>FACT</x:v>
      </x:c>
      <x:c r="O14" s="4" t="str">
        <x:v>Point-in-time logged-out view</x:v>
      </x:c>
    </x:row>
    <x:row r="15">
      <x:c r="A15" s="4" t="str">
        <x:v>Facebook/Instagram + chat + sheet</x:v>
      </x:c>
      <x:c r="B15" s="4" t="str">
        <x:v>2026-10-16</x:v>
      </x:c>
      <x:c r="C15" s="4" t="str">
        <x:v>N/A</x:v>
      </x:c>
      <x:c r="D15" s="4" t="str">
        <x:v>No single page</x:v>
      </x:c>
      <x:c r="E15" s="4" t="str">
        <x:v>Manual workflow alternative has no single competitor feed</x:v>
      </x:c>
      <x:c r="F15" s="4" t="str">
        <x:v>N/A</x:v>
      </x:c>
      <x:c r="G15" s="4" t="str">
        <x:v>Manual alternative</x:v>
      </x:c>
      <x:c r="H15" s="4" t="str">
        <x:v>N/A</x:v>
      </x:c>
      <x:c r="I15" s="4" t="str">
        <x:v>N/A</x:v>
      </x:c>
      <x:c r="J15" s="4" t="str">
        <x:v>N/A</x:v>
      </x:c>
      <x:c r="K15" s="4" t="str">
        <x:v>N/A</x:v>
      </x:c>
      <x:c r="L15" s="4" t="str">
        <x:v>Not applicable</x:v>
      </x:c>
      <x:c r="M15" s="4" t="str">
        <x:v>https://www.facebook.com/business/</x:v>
      </x:c>
      <x:c r="N15" s="4" t="str">
        <x:v>FACT</x:v>
      </x:c>
      <x:c r="O15" s="4" t="str">
        <x:v>No representative page exists</x:v>
      </x:c>
    </x:row>
    <x:row r="16">
      <x:c r="A16" s="4" t="str">
        <x:v>Bitcommerz</x:v>
      </x:c>
      <x:c r="B16" s="4" t="str">
        <x:v>2026-10-16</x:v>
      </x:c>
      <x:c r="C16" s="4" t="str">
        <x:v>N/A</x:v>
      </x:c>
      <x:c r="D16" s="4" t="str">
        <x:v>Page identity check</x:v>
      </x:c>
      <x:c r="E16" s="4" t="str">
        <x:v>Official-site Facebook link resolved to a crypto/currency page with no posts</x:v>
      </x:c>
      <x:c r="F16" s="4" t="str">
        <x:v>Not found</x:v>
      </x:c>
      <x:c r="G16" s="4" t="str">
        <x:v>Identity risk</x:v>
      </x:c>
      <x:c r="H16" s="4" t="str">
        <x:v>English</x:v>
      </x:c>
      <x:c r="I16" s="4" t="str">
        <x:v>Not found</x:v>
      </x:c>
      <x:c r="J16" s="4" t="str">
        <x:v>Not found</x:v>
      </x:c>
      <x:c r="K16" s="4" t="str">
        <x:v>Not found</x:v>
      </x:c>
      <x:c r="L16" s="4" t="str">
        <x:v>37 followers; unrelated category</x:v>
      </x:c>
      <x:c r="M16" s="4" t="str">
        <x:v>https://www.facebook.com/bitcommerz</x:v>
      </x:c>
      <x:c r="N16" s="4" t="str">
        <x:v>FACT</x:v>
      </x:c>
      <x:c r="O16" s="4" t="str">
        <x:v>Excluded from core shortlist pending revalidation</x:v>
      </x:c>
    </x:row>
    <x:row r="18">
      <x:c r="A18" s="9" t="str">
        <x:v>Boundary: exact 30-day and 90-day post totals were not available from the public no-login Facebook view. This log records only the posts and page signals actually observed on 2026-10-16.</x:v>
      </x:c>
    </x:row>
  </x:sheetData>
  <x:mergeCells>
    <x:mergeCell ref="A18:O18"/>
  </x:mergeCells>
  <x:pageMargins left="0.7" right="0.7" top="0.75" bottom="0.75" header="0.3" footer="0.3"/>
</x:worksheet>
</file>

<file path=xl/worksheets/sheet4.xml><?xml version="1.0" encoding="utf-8"?>
<x:worksheet xmlns:x="http://schemas.openxmlformats.org/spreadsheetml/2006/main">
  <x:sheetPr>
    <x:tabColor rgb="FF2563EB"/>
  </x:sheetPr>
  <x:sheetViews>
    <x:sheetView showGridLines="0" workbookViewId="0">
      <x:pane ySplit="1" topLeftCell="A2" activePane="bottomLeft" state="frozen"/>
    </x:sheetView>
  </x:sheetViews>
  <x:sheetFormatPr defaultRowHeight="15"/>
  <x:cols>
    <x:col min="1" max="1" width="20" hidden="0" customWidth="1"/>
    <x:col min="2" max="2" width="22" hidden="0" customWidth="1"/>
    <x:col min="3" max="3" width="13" hidden="0" customWidth="1"/>
    <x:col min="4" max="4" width="36" hidden="0" customWidth="1"/>
    <x:col min="5" max="5" width="15" hidden="0" customWidth="1"/>
    <x:col min="6" max="6" width="15" hidden="0" customWidth="1"/>
    <x:col min="7" max="7" width="15" hidden="0" customWidth="1"/>
    <x:col min="8" max="8" width="18" hidden="0" customWidth="1"/>
    <x:col min="9" max="9" width="16" hidden="0" customWidth="1"/>
    <x:col min="10" max="10" width="18" hidden="0" customWidth="1"/>
    <x:col min="11" max="11" width="28" hidden="0" customWidth="1"/>
    <x:col min="12" max="12" width="22" hidden="0" customWidth="1"/>
    <x:col min="13" max="13" width="20" hidden="0" customWidth="1"/>
    <x:col min="14" max="14" width="27" hidden="0" customWidth="1"/>
    <x:col min="15" max="15" width="90" hidden="0" customWidth="1"/>
    <x:col min="16" max="16" width="12" hidden="0" customWidth="1"/>
  </x:cols>
  <x:sheetData>
    <x:row r="1" ht="30" customHeight="1">
      <x:c r="A1" s="6" t="str">
        <x:v>Competitor</x:v>
      </x:c>
      <x:c r="B1" s="6" t="str">
        <x:v>Ad link or page ID</x:v>
      </x:c>
      <x:c r="C1" s="6" t="str">
        <x:v>Active ads</x:v>
      </x:c>
      <x:c r="D1" s="6" t="str">
        <x:v>Observed result</x:v>
      </x:c>
      <x:c r="E1" s="6" t="str">
        <x:v>Observed date</x:v>
      </x:c>
      <x:c r="F1" s="6" t="str">
        <x:v>Start date</x:v>
      </x:c>
      <x:c r="G1" s="6" t="str">
        <x:v>Days running</x:v>
      </x:c>
      <x:c r="H1" s="6" t="str">
        <x:v>Platforms</x:v>
      </x:c>
      <x:c r="I1" s="6" t="str">
        <x:v>Format</x:v>
      </x:c>
      <x:c r="J1" s="6" t="str">
        <x:v>Angle</x:v>
      </x:c>
      <x:c r="K1" s="6" t="str">
        <x:v>Copy</x:v>
      </x:c>
      <x:c r="L1" s="6" t="str">
        <x:v>Destination</x:v>
      </x:c>
      <x:c r="M1" s="6" t="str">
        <x:v>Offer</x:v>
      </x:c>
      <x:c r="N1" s="6" t="str">
        <x:v>Query scope</x:v>
      </x:c>
      <x:c r="O1" s="6" t="str">
        <x:v>Exact Ad Library URL</x:v>
      </x:c>
      <x:c r="P1" s="6" t="str">
        <x:v>Label</x:v>
      </x:c>
    </x:row>
    <x:row r="2">
      <x:c r="A2" s="4" t="str">
        <x:v>StoreX</x:v>
      </x:c>
      <x:c r="B2" s="4" t="str">
        <x:v>100090072907191</x:v>
      </x:c>
      <x:c r="C2" s="4" t="n">
        <x:v>0</x:v>
      </x:c>
      <x:c r="D2" s="4" t="str">
        <x:v>No ads match your search criteria</x:v>
      </x:c>
      <x:c r="E2" s="4" t="str">
        <x:v>2026-10-16</x:v>
      </x:c>
      <x:c r="F2" s="4" t="str">
        <x:v>Not found</x:v>
      </x:c>
      <x:c r="G2" s="4" t="str">
        <x:v>Not found</x:v>
      </x:c>
      <x:c r="H2" s="4" t="str">
        <x:v>Not found</x:v>
      </x:c>
      <x:c r="I2" s="4" t="str">
        <x:v>Not found</x:v>
      </x:c>
      <x:c r="J2" s="4" t="str">
        <x:v>Not found</x:v>
      </x:c>
      <x:c r="K2" s="4" t="str">
        <x:v>Not found</x:v>
      </x:c>
      <x:c r="L2" s="4" t="str">
        <x:v>Not found</x:v>
      </x:c>
      <x:c r="M2" s="4" t="str">
        <x:v>Not found</x:v>
      </x:c>
      <x:c r="N2" s="4" t="str">
        <x:v>BD; all ads; exact page</x:v>
      </x:c>
      <x:c r="O2" s="4" t="str">
        <x:v>https://www.facebook.com/ads/library/?active_status=active&amp;ad_type=all&amp;country=BD&amp;view_all_page_id=100090072907191&amp;search_type=page&amp;media_type=all</x:v>
      </x:c>
      <x:c r="P2" s="4" t="str">
        <x:v>FACT</x:v>
      </x:c>
    </x:row>
    <x:row r="3">
      <x:c r="A3" s="4" t="str">
        <x:v>Zatiq</x:v>
      </x:c>
      <x:c r="B3" s="4" t="str">
        <x:v>100095720763311</x:v>
      </x:c>
      <x:c r="C3" s="4" t="n">
        <x:v>0</x:v>
      </x:c>
      <x:c r="D3" s="4" t="str">
        <x:v>No ads match your search criteria</x:v>
      </x:c>
      <x:c r="E3" s="4" t="str">
        <x:v>2026-10-16</x:v>
      </x:c>
      <x:c r="F3" s="4" t="str">
        <x:v>Not found</x:v>
      </x:c>
      <x:c r="G3" s="4" t="str">
        <x:v>Not found</x:v>
      </x:c>
      <x:c r="H3" s="4" t="str">
        <x:v>Not found</x:v>
      </x:c>
      <x:c r="I3" s="4" t="str">
        <x:v>Not found</x:v>
      </x:c>
      <x:c r="J3" s="4" t="str">
        <x:v>Not found</x:v>
      </x:c>
      <x:c r="K3" s="4" t="str">
        <x:v>Not found</x:v>
      </x:c>
      <x:c r="L3" s="4" t="str">
        <x:v>Not found</x:v>
      </x:c>
      <x:c r="M3" s="4" t="str">
        <x:v>Not found</x:v>
      </x:c>
      <x:c r="N3" s="4" t="str">
        <x:v>BD; all ads; exact page</x:v>
      </x:c>
      <x:c r="O3" s="4" t="str">
        <x:v>https://www.facebook.com/ads/library/?active_status=active&amp;ad_type=all&amp;country=BD&amp;view_all_page_id=100095720763311&amp;search_type=page&amp;media_type=all</x:v>
      </x:c>
      <x:c r="P3" s="4" t="str">
        <x:v>FACT</x:v>
      </x:c>
    </x:row>
    <x:row r="4">
      <x:c r="A4" s="4" t="str">
        <x:v>SeloraX</x:v>
      </x:c>
      <x:c r="B4" s="4" t="str">
        <x:v>100064099029379</x:v>
      </x:c>
      <x:c r="C4" s="4" t="n">
        <x:v>0</x:v>
      </x:c>
      <x:c r="D4" s="4" t="str">
        <x:v>No ads match your search criteria</x:v>
      </x:c>
      <x:c r="E4" s="4" t="str">
        <x:v>2026-10-16</x:v>
      </x:c>
      <x:c r="F4" s="4" t="str">
        <x:v>Not found</x:v>
      </x:c>
      <x:c r="G4" s="4" t="str">
        <x:v>Not found</x:v>
      </x:c>
      <x:c r="H4" s="4" t="str">
        <x:v>Not found</x:v>
      </x:c>
      <x:c r="I4" s="4" t="str">
        <x:v>Not found</x:v>
      </x:c>
      <x:c r="J4" s="4" t="str">
        <x:v>Not found</x:v>
      </x:c>
      <x:c r="K4" s="4" t="str">
        <x:v>Not found</x:v>
      </x:c>
      <x:c r="L4" s="4" t="str">
        <x:v>Not found</x:v>
      </x:c>
      <x:c r="M4" s="4" t="str">
        <x:v>Not found</x:v>
      </x:c>
      <x:c r="N4" s="4" t="str">
        <x:v>BD; all ads; exact page</x:v>
      </x:c>
      <x:c r="O4" s="4" t="str">
        <x:v>https://www.facebook.com/ads/library/?active_status=active&amp;ad_type=all&amp;country=BD&amp;view_all_page_id=100064099029379&amp;search_type=page&amp;media_type=all</x:v>
      </x:c>
      <x:c r="P4" s="4" t="str">
        <x:v>FACT</x:v>
      </x:c>
    </x:row>
    <x:row r="5">
      <x:c r="A5" s="4" t="str">
        <x:v>Sellsull</x:v>
      </x:c>
      <x:c r="B5" s="4" t="str">
        <x:v>100068186406406</x:v>
      </x:c>
      <x:c r="C5" s="4" t="n">
        <x:v>0</x:v>
      </x:c>
      <x:c r="D5" s="4" t="str">
        <x:v>No ads match your search criteria</x:v>
      </x:c>
      <x:c r="E5" s="4" t="str">
        <x:v>2026-10-16</x:v>
      </x:c>
      <x:c r="F5" s="4" t="str">
        <x:v>Not found</x:v>
      </x:c>
      <x:c r="G5" s="4" t="str">
        <x:v>Not found</x:v>
      </x:c>
      <x:c r="H5" s="4" t="str">
        <x:v>Not found</x:v>
      </x:c>
      <x:c r="I5" s="4" t="str">
        <x:v>Not found</x:v>
      </x:c>
      <x:c r="J5" s="4" t="str">
        <x:v>Not found</x:v>
      </x:c>
      <x:c r="K5" s="4" t="str">
        <x:v>Not found</x:v>
      </x:c>
      <x:c r="L5" s="4" t="str">
        <x:v>Not found</x:v>
      </x:c>
      <x:c r="M5" s="4" t="str">
        <x:v>Not found</x:v>
      </x:c>
      <x:c r="N5" s="4" t="str">
        <x:v>BD; all ads; exact page</x:v>
      </x:c>
      <x:c r="O5" s="4" t="str">
        <x:v>https://www.facebook.com/ads/library/?active_status=active&amp;ad_type=all&amp;country=BD&amp;view_all_page_id=100068186406406&amp;search_type=page&amp;media_type=all</x:v>
      </x:c>
      <x:c r="P5" s="4" t="str">
        <x:v>FACT</x:v>
      </x:c>
    </x:row>
    <x:row r="6">
      <x:c r="A6" s="4" t="str">
        <x:v>FrameX Tech</x:v>
      </x:c>
      <x:c r="B6" s="4" t="str">
        <x:v>61584264352274</x:v>
      </x:c>
      <x:c r="C6" s="4" t="n">
        <x:v>0</x:v>
      </x:c>
      <x:c r="D6" s="4" t="str">
        <x:v>No ads match your search criteria</x:v>
      </x:c>
      <x:c r="E6" s="4" t="str">
        <x:v>2026-10-16</x:v>
      </x:c>
      <x:c r="F6" s="4" t="str">
        <x:v>Not found</x:v>
      </x:c>
      <x:c r="G6" s="4" t="str">
        <x:v>Not found</x:v>
      </x:c>
      <x:c r="H6" s="4" t="str">
        <x:v>Not found</x:v>
      </x:c>
      <x:c r="I6" s="4" t="str">
        <x:v>Not found</x:v>
      </x:c>
      <x:c r="J6" s="4" t="str">
        <x:v>Not found</x:v>
      </x:c>
      <x:c r="K6" s="4" t="str">
        <x:v>Not found</x:v>
      </x:c>
      <x:c r="L6" s="4" t="str">
        <x:v>Not found</x:v>
      </x:c>
      <x:c r="M6" s="4" t="str">
        <x:v>Not found</x:v>
      </x:c>
      <x:c r="N6" s="4" t="str">
        <x:v>BD; all ads; exact page</x:v>
      </x:c>
      <x:c r="O6" s="4" t="str">
        <x:v>https://www.facebook.com/ads/library/?active_status=active&amp;ad_type=all&amp;country=BD&amp;view_all_page_id=61584264352274&amp;search_type=page&amp;media_type=all</x:v>
      </x:c>
      <x:c r="P6" s="4" t="str">
        <x:v>FACT</x:v>
      </x:c>
    </x:row>
    <x:row r="7">
      <x:c r="A7" s="4" t="str">
        <x:v>ShopZero</x:v>
      </x:c>
      <x:c r="B7" s="4" t="str">
        <x:v>61576533192182</x:v>
      </x:c>
      <x:c r="C7" s="4" t="n">
        <x:v>0</x:v>
      </x:c>
      <x:c r="D7" s="4" t="str">
        <x:v>No ads match your search criteria</x:v>
      </x:c>
      <x:c r="E7" s="4" t="str">
        <x:v>2026-10-16</x:v>
      </x:c>
      <x:c r="F7" s="4" t="str">
        <x:v>Not found</x:v>
      </x:c>
      <x:c r="G7" s="4" t="str">
        <x:v>Not found</x:v>
      </x:c>
      <x:c r="H7" s="4" t="str">
        <x:v>Not found</x:v>
      </x:c>
      <x:c r="I7" s="4" t="str">
        <x:v>Not found</x:v>
      </x:c>
      <x:c r="J7" s="4" t="str">
        <x:v>Not found</x:v>
      </x:c>
      <x:c r="K7" s="4" t="str">
        <x:v>Not found</x:v>
      </x:c>
      <x:c r="L7" s="4" t="str">
        <x:v>Not found</x:v>
      </x:c>
      <x:c r="M7" s="4" t="str">
        <x:v>Not found</x:v>
      </x:c>
      <x:c r="N7" s="4" t="str">
        <x:v>BD; all ads; exact page</x:v>
      </x:c>
      <x:c r="O7" s="4" t="str">
        <x:v>https://www.facebook.com/ads/library/?active_status=active&amp;ad_type=all&amp;country=BD&amp;view_all_page_id=61576533192182&amp;search_type=page&amp;media_type=all</x:v>
      </x:c>
      <x:c r="P7" s="4" t="str">
        <x:v>FACT</x:v>
      </x:c>
    </x:row>
    <x:row r="9">
      <x:c r="A9" s="9" t="str">
        <x:v>Interpretation: zero active ads is a current point-in-time result, not evidence that these brands never advertise. The broad keyword search for “StoreX” returned many unrelated advertisers, so exact page IDs were used.</x:v>
      </x:c>
    </x:row>
  </x:sheetData>
  <x:mergeCells>
    <x:mergeCell ref="A9:P9"/>
  </x:mergeCells>
  <x:pageMargins left="0.7" right="0.7" top="0.75" bottom="0.75" header="0.3" footer="0.3"/>
</x:worksheet>
</file>

<file path=xl/worksheets/sheet5.xml><?xml version="1.0" encoding="utf-8"?>
<x:worksheet xmlns:x="http://schemas.openxmlformats.org/spreadsheetml/2006/main">
  <x:sheetPr>
    <x:tabColor rgb="FF7C3AED"/>
  </x:sheetPr>
  <x:sheetViews>
    <x:sheetView showGridLines="0" workbookViewId="0">
      <x:pane ySplit="1" topLeftCell="A2" activePane="bottomLeft" state="frozen"/>
    </x:sheetView>
  </x:sheetViews>
  <x:sheetFormatPr defaultRowHeight="15"/>
  <x:cols>
    <x:col min="1" max="1" width="9" hidden="0" customWidth="1"/>
    <x:col min="2" max="2" width="11" hidden="0" customWidth="1"/>
    <x:col min="3" max="3" width="24" hidden="0" customWidth="1"/>
    <x:col min="4" max="4" width="22" hidden="0" customWidth="1"/>
    <x:col min="5" max="5" width="16" hidden="0" customWidth="1"/>
    <x:col min="6" max="6" width="19" hidden="0" customWidth="1"/>
    <x:col min="7" max="7" width="58" hidden="0" customWidth="1"/>
    <x:col min="8" max="8" width="28" hidden="0" customWidth="1"/>
    <x:col min="9" max="9" width="22" hidden="0" customWidth="1"/>
    <x:col min="10" max="10" width="14" hidden="0" customWidth="1"/>
    <x:col min="11" max="11" width="13" hidden="0" customWidth="1"/>
  </x:cols>
  <x:sheetData>
    <x:row r="1" ht="30" customHeight="1">
      <x:c r="A1" s="6" t="str">
        <x:v>Week</x:v>
      </x:c>
      <x:c r="B1" s="6" t="str">
        <x:v>Day</x:v>
      </x:c>
      <x:c r="C1" s="6" t="str">
        <x:v>Channel</x:v>
      </x:c>
      <x:c r="D1" s="6" t="str">
        <x:v>Format</x:v>
      </x:c>
      <x:c r="E1" s="6" t="str">
        <x:v>Language</x:v>
      </x:c>
      <x:c r="F1" s="6" t="str">
        <x:v>Pillar</x:v>
      </x:c>
      <x:c r="G1" s="6" t="str">
        <x:v>Hook / working title</x:v>
      </x:c>
      <x:c r="H1" s="6" t="str">
        <x:v>CTA</x:v>
      </x:c>
      <x:c r="I1" s="6" t="str">
        <x:v>Primary KPI</x:v>
      </x:c>
      <x:c r="J1" s="6" t="str">
        <x:v>Owner</x:v>
      </x:c>
      <x:c r="K1" s="6" t="str">
        <x:v>Label</x:v>
      </x:c>
    </x:row>
    <x:row r="2">
      <x:c r="A2" s="10" t="n">
        <x:v>1</x:v>
      </x:c>
      <x:c r="B2" s="4" t="str">
        <x:v>Mon</x:v>
      </x:c>
      <x:c r="C2" s="4" t="str">
        <x:v>Facebook + LinkedIn</x:v>
      </x:c>
      <x:c r="D2" s="4" t="str">
        <x:v>Carousel</x:v>
      </x:c>
      <x:c r="E2" s="4" t="str">
        <x:v>Bangla</x:v>
      </x:c>
      <x:c r="F2" s="4" t="str">
        <x:v>Loss control</x:v>
      </x:c>
      <x:c r="G2" s="4" t="str">
        <x:v>৫টা অর্ডারের মধ্যে ১টা ভুয়া হলে আপনার আসল খরচ কত?</x:v>
      </x:c>
      <x:c r="H2" s="4" t="str">
        <x:v>Use the loss calculator</x:v>
      </x:c>
      <x:c r="I2" s="4" t="str">
        <x:v>Calculator starts</x:v>
      </x:c>
      <x:c r="J2" s="4" t="str">
        <x:v>Design</x:v>
      </x:c>
      <x:c r="K2" s="4" t="str">
        <x:v>ASSUMPTION</x:v>
      </x:c>
    </x:row>
    <x:row r="3">
      <x:c r="A3" s="10" t="n">
        <x:v>1</x:v>
      </x:c>
      <x:c r="B3" s="4" t="str">
        <x:v>Tue</x:v>
      </x:c>
      <x:c r="C3" s="4" t="str">
        <x:v>Facebook</x:v>
      </x:c>
      <x:c r="D3" s="4" t="str">
        <x:v>Screen demo</x:v>
      </x:c>
      <x:c r="E3" s="4" t="str">
        <x:v>Bangla</x:v>
      </x:c>
      <x:c r="F3" s="4" t="str">
        <x:v>Product proof</x:v>
      </x:c>
      <x:c r="G3" s="4" t="str">
        <x:v>No-signup demo: order desk in 45 seconds</x:v>
      </x:c>
      <x:c r="H3" s="4" t="str">
        <x:v>Open demo</x:v>
      </x:c>
      <x:c r="I3" s="4" t="str">
        <x:v>Demo opens</x:v>
      </x:c>
      <x:c r="J3" s="4" t="str">
        <x:v>Product</x:v>
      </x:c>
      <x:c r="K3" s="4" t="str">
        <x:v>ASSUMPTION</x:v>
      </x:c>
    </x:row>
    <x:row r="4">
      <x:c r="A4" s="10" t="n">
        <x:v>1</x:v>
      </x:c>
      <x:c r="B4" s="4" t="str">
        <x:v>Wed</x:v>
      </x:c>
      <x:c r="C4" s="4" t="str">
        <x:v>Facebook + YouTube Shorts</x:v>
      </x:c>
      <x:c r="D4" s="4" t="str">
        <x:v>Founder video</x:v>
      </x:c>
      <x:c r="E4" s="4" t="str">
        <x:v>Banglish</x:v>
      </x:c>
      <x:c r="F4" s="4" t="str">
        <x:v>Founder story</x:v>
      </x:c>
      <x:c r="G4" s="4" t="str">
        <x:v>Why we built for phone-first Bangladeshi sellers</x:v>
      </x:c>
      <x:c r="H4" s="4" t="str">
        <x:v>Join founding merchant list</x:v>
      </x:c>
      <x:c r="I4" s="4" t="str">
        <x:v>Qualified leads</x:v>
      </x:c>
      <x:c r="J4" s="4" t="str">
        <x:v>Founder</x:v>
      </x:c>
      <x:c r="K4" s="4" t="str">
        <x:v>ASSUMPTION</x:v>
      </x:c>
    </x:row>
    <x:row r="5">
      <x:c r="A5" s="10" t="n">
        <x:v>1</x:v>
      </x:c>
      <x:c r="B5" s="4" t="str">
        <x:v>Thu</x:v>
      </x:c>
      <x:c r="C5" s="4" t="str">
        <x:v>Facebook</x:v>
      </x:c>
      <x:c r="D5" s="4" t="str">
        <x:v>Checklist</x:v>
      </x:c>
      <x:c r="E5" s="4" t="str">
        <x:v>Bangla</x:v>
      </x:c>
      <x:c r="F5" s="4" t="str">
        <x:v>Operations</x:v>
      </x:c>
      <x:c r="G5" s="4" t="str">
        <x:v>বিকাশ TrxID মিলাতে যে ৭টি ভুল হয়</x:v>
      </x:c>
      <x:c r="H5" s="4" t="str">
        <x:v>Save checklist</x:v>
      </x:c>
      <x:c r="I5" s="4" t="str">
        <x:v>Saves</x:v>
      </x:c>
      <x:c r="J5" s="4" t="str">
        <x:v>Growth</x:v>
      </x:c>
      <x:c r="K5" s="4" t="str">
        <x:v>ASSUMPTION</x:v>
      </x:c>
    </x:row>
    <x:row r="6">
      <x:c r="A6" s="10" t="n">
        <x:v>1</x:v>
      </x:c>
      <x:c r="B6" s="4" t="str">
        <x:v>Sat</x:v>
      </x:c>
      <x:c r="C6" s="4" t="str">
        <x:v>Facebook</x:v>
      </x:c>
      <x:c r="D6" s="4" t="str">
        <x:v>Poll</x:v>
      </x:c>
      <x:c r="E6" s="4" t="str">
        <x:v>Bangla</x:v>
      </x:c>
      <x:c r="F6" s="4" t="str">
        <x:v>Research</x:v>
      </x:c>
      <x:c r="G6" s="4" t="str">
        <x:v>আপনার সবচেয়ে বড় সমস্যা—fake order, courier, না হিসাব?</x:v>
      </x:c>
      <x:c r="H6" s="4" t="str">
        <x:v>Vote + comment</x:v>
      </x:c>
      <x:c r="I6" s="4" t="str">
        <x:v>Comments</x:v>
      </x:c>
      <x:c r="J6" s="4" t="str">
        <x:v>Community</x:v>
      </x:c>
      <x:c r="K6" s="4" t="str">
        <x:v>ASSUMPTION</x:v>
      </x:c>
    </x:row>
    <x:row r="7">
      <x:c r="A7" s="10" t="n">
        <x:v>2</x:v>
      </x:c>
      <x:c r="B7" s="4" t="str">
        <x:v>Mon</x:v>
      </x:c>
      <x:c r="C7" s="4" t="str">
        <x:v>Facebook</x:v>
      </x:c>
      <x:c r="D7" s="4" t="str">
        <x:v>Before/after carousel</x:v>
      </x:c>
      <x:c r="E7" s="4" t="str">
        <x:v>Bangla</x:v>
      </x:c>
      <x:c r="F7" s="4" t="str">
        <x:v>Workflow</x:v>
      </x:c>
      <x:c r="G7" s="4" t="str">
        <x:v>Inbox থেকে order desk: 6-step cleanup</x:v>
      </x:c>
      <x:c r="H7" s="4" t="str">
        <x:v>Open demo</x:v>
      </x:c>
      <x:c r="I7" s="4" t="str">
        <x:v>Demo opens</x:v>
      </x:c>
      <x:c r="J7" s="4" t="str">
        <x:v>Design</x:v>
      </x:c>
      <x:c r="K7" s="4" t="str">
        <x:v>ASSUMPTION</x:v>
      </x:c>
    </x:row>
    <x:row r="8">
      <x:c r="A8" s="10" t="n">
        <x:v>2</x:v>
      </x:c>
      <x:c r="B8" s="4" t="str">
        <x:v>Tue</x:v>
      </x:c>
      <x:c r="C8" s="4" t="str">
        <x:v>YouTube + Facebook</x:v>
      </x:c>
      <x:c r="D8" s="4" t="str">
        <x:v>60s walkthrough</x:v>
      </x:c>
      <x:c r="E8" s="4" t="str">
        <x:v>Bangla</x:v>
      </x:c>
      <x:c r="F8" s="4" t="str">
        <x:v>Builder</x:v>
      </x:c>
      <x:c r="G8" s="4" t="str">
        <x:v>ফোন থেকে ৬টি theme-এর একটায় store publish</x:v>
      </x:c>
      <x:c r="H8" s="4" t="str">
        <x:v>Start trial</x:v>
      </x:c>
      <x:c r="I8" s="4" t="str">
        <x:v>Signup starts</x:v>
      </x:c>
      <x:c r="J8" s="4" t="str">
        <x:v>Product</x:v>
      </x:c>
      <x:c r="K8" s="4" t="str">
        <x:v>ASSUMPTION</x:v>
      </x:c>
    </x:row>
    <x:row r="9">
      <x:c r="A9" s="10" t="n">
        <x:v>2</x:v>
      </x:c>
      <x:c r="B9" s="4" t="str">
        <x:v>Wed</x:v>
      </x:c>
      <x:c r="C9" s="4" t="str">
        <x:v>Facebook</x:v>
      </x:c>
      <x:c r="D9" s="4" t="str">
        <x:v>Static + caption</x:v>
      </x:c>
      <x:c r="E9" s="4" t="str">
        <x:v>English/Bangla</x:v>
      </x:c>
      <x:c r="F9" s="4" t="str">
        <x:v>Pricing clarity</x:v>
      </x:c>
      <x:c r="G9" s="4" t="str">
        <x:v>৳699 plan: who it is for—and who should not buy it</x:v>
      </x:c>
      <x:c r="H9" s="4" t="str">
        <x:v>Compare plans</x:v>
      </x:c>
      <x:c r="I9" s="4" t="str">
        <x:v>Pricing views</x:v>
      </x:c>
      <x:c r="J9" s="4" t="str">
        <x:v>Growth</x:v>
      </x:c>
      <x:c r="K9" s="4" t="str">
        <x:v>ASSUMPTION</x:v>
      </x:c>
    </x:row>
    <x:row r="10">
      <x:c r="A10" s="10" t="n">
        <x:v>2</x:v>
      </x:c>
      <x:c r="B10" s="4" t="str">
        <x:v>Thu</x:v>
      </x:c>
      <x:c r="C10" s="4" t="str">
        <x:v>Email + Facebook</x:v>
      </x:c>
      <x:c r="D10" s="4" t="str">
        <x:v>Case-study request</x:v>
      </x:c>
      <x:c r="E10" s="4" t="str">
        <x:v>Bangla</x:v>
      </x:c>
      <x:c r="F10" s="4" t="str">
        <x:v>Proof building</x:v>
      </x:c>
      <x:c r="G10" s="4" t="str">
        <x:v>Founding merchants: get hands-on onboarding for honest feedback</x:v>
      </x:c>
      <x:c r="H10" s="4" t="str">
        <x:v>Apply</x:v>
      </x:c>
      <x:c r="I10" s="4" t="str">
        <x:v>Applications</x:v>
      </x:c>
      <x:c r="J10" s="4" t="str">
        <x:v>Founder</x:v>
      </x:c>
      <x:c r="K10" s="4" t="str">
        <x:v>ASSUMPTION</x:v>
      </x:c>
    </x:row>
    <x:row r="11">
      <x:c r="A11" s="10" t="n">
        <x:v>2</x:v>
      </x:c>
      <x:c r="B11" s="4" t="str">
        <x:v>Sat</x:v>
      </x:c>
      <x:c r="C11" s="4" t="str">
        <x:v>Facebook Live</x:v>
      </x:c>
      <x:c r="D11" s="4" t="str">
        <x:v>Live Q&amp;A</x:v>
      </x:c>
      <x:c r="E11" s="4" t="str">
        <x:v>Bangla</x:v>
      </x:c>
      <x:c r="F11" s="4" t="str">
        <x:v>Trust</x:v>
      </x:c>
      <x:c r="G11" s="4" t="str">
        <x:v>Courier, COD, bKash—ask us anything</x:v>
      </x:c>
      <x:c r="H11" s="4" t="str">
        <x:v>Set reminder</x:v>
      </x:c>
      <x:c r="I11" s="4" t="str">
        <x:v>Live attendance</x:v>
      </x:c>
      <x:c r="J11" s="4" t="str">
        <x:v>Support</x:v>
      </x:c>
      <x:c r="K11" s="4" t="str">
        <x:v>ASSUMPTION</x:v>
      </x:c>
    </x:row>
    <x:row r="12">
      <x:c r="A12" s="10" t="n">
        <x:v>3</x:v>
      </x:c>
      <x:c r="B12" s="4" t="str">
        <x:v>Mon</x:v>
      </x:c>
      <x:c r="C12" s="4" t="str">
        <x:v>Facebook + Blog</x:v>
      </x:c>
      <x:c r="D12" s="4" t="str">
        <x:v>Explainer</x:v>
      </x:c>
      <x:c r="E12" s="4" t="str">
        <x:v>Bangla</x:v>
      </x:c>
      <x:c r="F12" s="4" t="str">
        <x:v>Fraud</x:v>
      </x:c>
      <x:c r="G12" s="4" t="str">
        <x:v>কখন order hold করবেন, কখন call করবেন</x:v>
      </x:c>
      <x:c r="H12" s="4" t="str">
        <x:v>Use checklist</x:v>
      </x:c>
      <x:c r="I12" s="4" t="str">
        <x:v>Leads</x:v>
      </x:c>
      <x:c r="J12" s="4" t="str">
        <x:v>Growth</x:v>
      </x:c>
      <x:c r="K12" s="4" t="str">
        <x:v>ASSUMPTION</x:v>
      </x:c>
    </x:row>
    <x:row r="13">
      <x:c r="A13" s="10" t="n">
        <x:v>3</x:v>
      </x:c>
      <x:c r="B13" s="4" t="str">
        <x:v>Tue</x:v>
      </x:c>
      <x:c r="C13" s="4" t="str">
        <x:v>Facebook</x:v>
      </x:c>
      <x:c r="D13" s="4" t="str">
        <x:v>Reel</x:v>
      </x:c>
      <x:c r="E13" s="4" t="str">
        <x:v>Bangla</x:v>
      </x:c>
      <x:c r="F13" s="4" t="str">
        <x:v>Profit</x:v>
      </x:c>
      <x:c r="G13" s="4" t="str">
        <x:v>Sales বেশি, profit কম—3 hidden costs</x:v>
      </x:c>
      <x:c r="H13" s="4" t="str">
        <x:v>Open profit dashboard demo</x:v>
      </x:c>
      <x:c r="I13" s="4" t="str">
        <x:v>Demo opens</x:v>
      </x:c>
      <x:c r="J13" s="4" t="str">
        <x:v>Product</x:v>
      </x:c>
      <x:c r="K13" s="4" t="str">
        <x:v>ASSUMPTION</x:v>
      </x:c>
    </x:row>
    <x:row r="14">
      <x:c r="A14" s="10" t="n">
        <x:v>3</x:v>
      </x:c>
      <x:c r="B14" s="4" t="str">
        <x:v>Wed</x:v>
      </x:c>
      <x:c r="C14" s="4" t="str">
        <x:v>LinkedIn + Facebook</x:v>
      </x:c>
      <x:c r="D14" s="4" t="str">
        <x:v>Data post</x:v>
      </x:c>
      <x:c r="E14" s="4" t="str">
        <x:v>English</x:v>
      </x:c>
      <x:c r="F14" s="4" t="str">
        <x:v>Market education</x:v>
      </x:c>
      <x:c r="G14" s="4" t="str">
        <x:v>A store is not a business system</x:v>
      </x:c>
      <x:c r="H14" s="4" t="str">
        <x:v>Read framework</x:v>
      </x:c>
      <x:c r="I14" s="4" t="str">
        <x:v>Qualified engagement</x:v>
      </x:c>
      <x:c r="J14" s="4" t="str">
        <x:v>Founder</x:v>
      </x:c>
      <x:c r="K14" s="4" t="str">
        <x:v>ASSUMPTION</x:v>
      </x:c>
    </x:row>
    <x:row r="15">
      <x:c r="A15" s="10" t="n">
        <x:v>3</x:v>
      </x:c>
      <x:c r="B15" s="4" t="str">
        <x:v>Thu</x:v>
      </x:c>
      <x:c r="C15" s="4" t="str">
        <x:v>Facebook</x:v>
      </x:c>
      <x:c r="D15" s="4" t="str">
        <x:v>Template showcase</x:v>
      </x:c>
      <x:c r="E15" s="4" t="str">
        <x:v>Bangla</x:v>
      </x:c>
      <x:c r="F15" s="4" t="str">
        <x:v>Design</x:v>
      </x:c>
      <x:c r="G15" s="4" t="str">
        <x:v>Fashion, gadget, kids—কোন theme আপনার জন্য?</x:v>
      </x:c>
      <x:c r="H15" s="4" t="str">
        <x:v>Vote + demo</x:v>
      </x:c>
      <x:c r="I15" s="4" t="str">
        <x:v>Demo opens</x:v>
      </x:c>
      <x:c r="J15" s="4" t="str">
        <x:v>Design</x:v>
      </x:c>
      <x:c r="K15" s="4" t="str">
        <x:v>ASSUMPTION</x:v>
      </x:c>
    </x:row>
    <x:row r="16">
      <x:c r="A16" s="10" t="n">
        <x:v>3</x:v>
      </x:c>
      <x:c r="B16" s="4" t="str">
        <x:v>Sat</x:v>
      </x:c>
      <x:c r="C16" s="4" t="str">
        <x:v>SMS/email</x:v>
      </x:c>
      <x:c r="D16" s="4" t="str">
        <x:v>Nurture</x:v>
      </x:c>
      <x:c r="E16" s="4" t="str">
        <x:v>Bangla</x:v>
      </x:c>
      <x:c r="F16" s="4" t="str">
        <x:v>Activation</x:v>
      </x:c>
      <x:c r="G16" s="4" t="str">
        <x:v>আপনার demo দেখা হয়েছে—আজ publish করতে সাহায্য চাই?</x:v>
      </x:c>
      <x:c r="H16" s="4" t="str">
        <x:v>Book onboarding</x:v>
      </x:c>
      <x:c r="I16" s="4" t="str">
        <x:v>Booked calls</x:v>
      </x:c>
      <x:c r="J16" s="4" t="str">
        <x:v>Support</x:v>
      </x:c>
      <x:c r="K16" s="4" t="str">
        <x:v>ASSUMPTION</x:v>
      </x:c>
    </x:row>
    <x:row r="17">
      <x:c r="A17" s="10" t="n">
        <x:v>4</x:v>
      </x:c>
      <x:c r="B17" s="4" t="str">
        <x:v>Mon</x:v>
      </x:c>
      <x:c r="C17" s="4" t="str">
        <x:v>Facebook</x:v>
      </x:c>
      <x:c r="D17" s="4" t="str">
        <x:v>Comparison carousel</x:v>
      </x:c>
      <x:c r="E17" s="4" t="str">
        <x:v>Bangla</x:v>
      </x:c>
      <x:c r="F17" s="4" t="str">
        <x:v>Category education</x:v>
      </x:c>
      <x:c r="G17" s="4" t="str">
        <x:v>Facebook page vs own store: what changes first</x:v>
      </x:c>
      <x:c r="H17" s="4" t="str">
        <x:v>Open demo</x:v>
      </x:c>
      <x:c r="I17" s="4" t="str">
        <x:v>Demo opens</x:v>
      </x:c>
      <x:c r="J17" s="4" t="str">
        <x:v>Growth</x:v>
      </x:c>
      <x:c r="K17" s="4" t="str">
        <x:v>ASSUMPTION</x:v>
      </x:c>
    </x:row>
    <x:row r="18">
      <x:c r="A18" s="10" t="n">
        <x:v>4</x:v>
      </x:c>
      <x:c r="B18" s="4" t="str">
        <x:v>Tue</x:v>
      </x:c>
      <x:c r="C18" s="4" t="str">
        <x:v>YouTube</x:v>
      </x:c>
      <x:c r="D18" s="4" t="str">
        <x:v>Tutorial</x:v>
      </x:c>
      <x:c r="E18" s="4" t="str">
        <x:v>Bangla</x:v>
      </x:c>
      <x:c r="F18" s="4" t="str">
        <x:v>Payments</x:v>
      </x:c>
      <x:c r="G18" s="4" t="str">
        <x:v>Manual bKash verification without losing the order trail</x:v>
      </x:c>
      <x:c r="H18" s="4" t="str">
        <x:v>Start trial</x:v>
      </x:c>
      <x:c r="I18" s="4" t="str">
        <x:v>Activated stores</x:v>
      </x:c>
      <x:c r="J18" s="4" t="str">
        <x:v>Product</x:v>
      </x:c>
      <x:c r="K18" s="4" t="str">
        <x:v>ASSUMPTION</x:v>
      </x:c>
    </x:row>
    <x:row r="19">
      <x:c r="A19" s="10" t="n">
        <x:v>4</x:v>
      </x:c>
      <x:c r="B19" s="4" t="str">
        <x:v>Wed</x:v>
      </x:c>
      <x:c r="C19" s="4" t="str">
        <x:v>Facebook</x:v>
      </x:c>
      <x:c r="D19" s="4" t="str">
        <x:v>Founder proof update</x:v>
      </x:c>
      <x:c r="E19" s="4" t="str">
        <x:v>Banglish</x:v>
      </x:c>
      <x:c r="F19" s="4" t="str">
        <x:v>Build in public</x:v>
      </x:c>
      <x:c r="G19" s="4" t="str">
        <x:v>What 10 founding merchants asked us to fix</x:v>
      </x:c>
      <x:c r="H19" s="4" t="str">
        <x:v>Join waitlist</x:v>
      </x:c>
      <x:c r="I19" s="4" t="str">
        <x:v>Applications</x:v>
      </x:c>
      <x:c r="J19" s="4" t="str">
        <x:v>Founder</x:v>
      </x:c>
      <x:c r="K19" s="4" t="str">
        <x:v>ASSUMPTION</x:v>
      </x:c>
    </x:row>
    <x:row r="20">
      <x:c r="A20" s="10" t="n">
        <x:v>4</x:v>
      </x:c>
      <x:c r="B20" s="4" t="str">
        <x:v>Thu</x:v>
      </x:c>
      <x:c r="C20" s="4" t="str">
        <x:v>Facebook</x:v>
      </x:c>
      <x:c r="D20" s="4" t="str">
        <x:v>Objection post</x:v>
      </x:c>
      <x:c r="E20" s="4" t="str">
        <x:v>Bangla</x:v>
      </x:c>
      <x:c r="F20" s="4" t="str">
        <x:v>Migration</x:v>
      </x:c>
      <x:c r="G20" s="4" t="str">
        <x:v>আগের order sheet হারাবে? Migration plan in 4 steps</x:v>
      </x:c>
      <x:c r="H20" s="4" t="str">
        <x:v>Request migration help</x:v>
      </x:c>
      <x:c r="I20" s="4" t="str">
        <x:v>Qualified leads</x:v>
      </x:c>
      <x:c r="J20" s="4" t="str">
        <x:v>Support</x:v>
      </x:c>
      <x:c r="K20" s="4" t="str">
        <x:v>ASSUMPTION</x:v>
      </x:c>
    </x:row>
    <x:row r="21">
      <x:c r="A21" s="10" t="n">
        <x:v>4</x:v>
      </x:c>
      <x:c r="B21" s="4" t="str">
        <x:v>Sat</x:v>
      </x:c>
      <x:c r="C21" s="4" t="str">
        <x:v>Facebook + Email</x:v>
      </x:c>
      <x:c r="D21" s="4" t="str">
        <x:v>Offer</x:v>
      </x:c>
      <x:c r="E21" s="4" t="str">
        <x:v>Bangla</x:v>
      </x:c>
      <x:c r="F21" s="4" t="str">
        <x:v>Conversion</x:v>
      </x:c>
      <x:c r="G21" s="4" t="str">
        <x:v>Founding merchant onboarding closes Sunday</x:v>
      </x:c>
      <x:c r="H21" s="4" t="str">
        <x:v>Apply now</x:v>
      </x:c>
      <x:c r="I21" s="4" t="str">
        <x:v>Paid conversions</x:v>
      </x:c>
      <x:c r="J21" s="4" t="str">
        <x:v>Growth</x:v>
      </x:c>
      <x:c r="K21" s="4" t="str">
        <x:v>ASSUMPTION</x:v>
      </x:c>
    </x:row>
  </x:sheetData>
  <x:pageMargins left="0.7" right="0.7" top="0.75" bottom="0.75" header="0.3" footer="0.3"/>
</x:worksheet>
</file>

<file path=xl/worksheets/sheet6.xml><?xml version="1.0" encoding="utf-8"?>
<x:worksheet xmlns:x="http://schemas.openxmlformats.org/spreadsheetml/2006/main">
  <x:sheetPr>
    <x:tabColor rgb="FF2563EB"/>
  </x:sheetPr>
  <x:sheetViews>
    <x:sheetView showGridLines="0" workbookViewId="0">
      <x:pane ySplit="1" topLeftCell="A2" activePane="bottomLeft" state="frozen"/>
    </x:sheetView>
  </x:sheetViews>
  <x:sheetFormatPr defaultRowHeight="15"/>
  <x:cols>
    <x:col min="1" max="1" width="25" hidden="0" customWidth="1"/>
    <x:col min="2" max="2" width="45" hidden="0" customWidth="1"/>
    <x:col min="3" max="3" width="52" hidden="0" customWidth="1"/>
    <x:col min="4" max="4" width="24" hidden="0" customWidth="1"/>
    <x:col min="5" max="5" width="35" hidden="0" customWidth="1"/>
    <x:col min="6" max="6" width="50" hidden="0" customWidth="1"/>
    <x:col min="7" max="7" width="32" hidden="0" customWidth="1"/>
    <x:col min="8" max="8" width="32" hidden="0" customWidth="1"/>
    <x:col min="9" max="9" width="13" hidden="0" customWidth="1"/>
  </x:cols>
  <x:sheetData>
    <x:row r="1" ht="30" customHeight="1">
      <x:c r="A1" s="6" t="str">
        <x:v>Concept</x:v>
      </x:c>
      <x:c r="B1" s="6" t="str">
        <x:v>English hook</x:v>
      </x:c>
      <x:c r="C1" s="6" t="str">
        <x:v>Bangla primary copy</x:v>
      </x:c>
      <x:c r="D1" s="6" t="str">
        <x:v>CTA</x:v>
      </x:c>
      <x:c r="E1" s="6" t="str">
        <x:v>Audience</x:v>
      </x:c>
      <x:c r="F1" s="6" t="str">
        <x:v>Proof / compliance gate</x:v>
      </x:c>
      <x:c r="G1" s="6" t="str">
        <x:v>Creative test</x:v>
      </x:c>
      <x:c r="H1" s="6" t="str">
        <x:v>Primary measurement</x:v>
      </x:c>
      <x:c r="I1" s="6" t="str">
        <x:v>Label</x:v>
      </x:c>
    </x:row>
    <x:row r="2">
      <x:c r="A2" s="4" t="str">
        <x:v>Fake COD loss math</x:v>
      </x:c>
      <x:c r="B2" s="4" t="str">
        <x:v>If 20 COD orders create 4 fake returns, what did delivery and staff time really cost?</x:v>
      </x:c>
      <x:c r="C2" s="4" t="str">
        <x:v>৪টা fake return-এর আসল খরচ শুধু delivery charge না। ৩০ সেকেন্ডে হিসাব করুন।</x:v>
      </x:c>
      <x:c r="D2" s="4" t="str">
        <x:v>Loss calculator</x:v>
      </x:c>
      <x:c r="E2" s="4" t="str">
        <x:v>Cold video viewers + page engagers</x:v>
      </x:c>
      <x:c r="F2" s="4" t="str">
        <x:v>Calculator must be accurate; do not promise fraud elimination</x:v>
      </x:c>
      <x:c r="G2" s="4" t="str">
        <x:v>Static vs 20s reel</x:v>
      </x:c>
      <x:c r="H2" s="4" t="str">
        <x:v>Calculator starts → demo opens</x:v>
      </x:c>
      <x:c r="I2" s="4" t="str">
        <x:v>ASSUMPTION</x:v>
      </x:c>
    </x:row>
    <x:row r="3">
      <x:c r="A3" s="4" t="str">
        <x:v>No-signup demo</x:v>
      </x:c>
      <x:c r="B3" s="4" t="str">
        <x:v>See the order desk before creating an account.</x:v>
      </x:c>
      <x:c r="C3" s="4" t="str">
        <x:v>Account খোলার আগে BizTrackBD-এর order desk দেখে নিন।</x:v>
      </x:c>
      <x:c r="D3" s="4" t="str">
        <x:v>Open demo</x:v>
      </x:c>
      <x:c r="E3" s="4" t="str">
        <x:v>Broad ecommerce interests; lookalike after volume</x:v>
      </x:c>
      <x:c r="F3" s="4" t="str">
        <x:v>Demo must reflect production truth</x:v>
      </x:c>
      <x:c r="G3" s="4" t="str">
        <x:v>Bangla voiceover vs silent captions</x:v>
      </x:c>
      <x:c r="H3" s="4" t="str">
        <x:v>Demo open → signup</x:v>
      </x:c>
      <x:c r="I3" s="4" t="str">
        <x:v>ASSUMPTION</x:v>
      </x:c>
    </x:row>
    <x:row r="4">
      <x:c r="A4" s="4" t="str">
        <x:v>bKash TrxID desk</x:v>
      </x:c>
      <x:c r="B4" s="4" t="str">
        <x:v>Stop hunting payment proofs across inboxes.</x:v>
      </x:c>
      <x:c r="C4" s="4" t="str">
        <x:v>Inbox ঘেঁটে TrxID খোঁজা বন্ধ করুন—এক জায়গায় status রাখুন।</x:v>
      </x:c>
      <x:c r="D4" s="4" t="str">
        <x:v>Start trial</x:v>
      </x:c>
      <x:c r="E4" s="4" t="str">
        <x:v>Page admins; online sellers</x:v>
      </x:c>
      <x:c r="F4" s="4" t="str">
        <x:v>Market manual verification only until automation is proven</x:v>
      </x:c>
      <x:c r="G4" s="4" t="str">
        <x:v>Pain-first vs workflow-first</x:v>
      </x:c>
      <x:c r="H4" s="4" t="str">
        <x:v>Signup → first verified order</x:v>
      </x:c>
      <x:c r="I4" s="4" t="str">
        <x:v>ASSUMPTION</x:v>
      </x:c>
    </x:row>
    <x:row r="5">
      <x:c r="A5" s="4" t="str">
        <x:v>Phone-first store</x:v>
      </x:c>
      <x:c r="B5" s="4" t="str">
        <x:v>Build and run your store from the phone you already use.</x:v>
      </x:c>
      <x:c r="C5" s="4" t="str">
        <x:v>Laptop ছাড়াই ফোন থেকে store চালান।</x:v>
      </x:c>
      <x:c r="D5" s="4" t="str">
        <x:v>Watch walkthrough</x:v>
      </x:c>
      <x:c r="E5" s="4" t="str">
        <x:v>Mobile-heavy seller audiences</x:v>
      </x:c>
      <x:c r="F5" s="4" t="str">
        <x:v>Test on real mid-range Android devices</x:v>
      </x:c>
      <x:c r="G5" s="4" t="str">
        <x:v>Founder demo vs UI capture</x:v>
      </x:c>
      <x:c r="H5" s="4" t="str">
        <x:v>50% video view → demo</x:v>
      </x:c>
      <x:c r="I5" s="4" t="str">
        <x:v>ASSUMPTION</x:v>
      </x:c>
    </x:row>
    <x:row r="6">
      <x:c r="A6" s="4" t="str">
        <x:v>Facebook page to owned store</x:v>
      </x:c>
      <x:c r="B6" s="4" t="str">
        <x:v>Keep the audience; gain a proper checkout and order trail.</x:v>
      </x:c>
      <x:c r="C6" s="4" t="str">
        <x:v>Facebook page থাকবে—সাথে নিজের store ও order history যোগ হবে।</x:v>
      </x:c>
      <x:c r="D6" s="4" t="str">
        <x:v>Open migration guide</x:v>
      </x:c>
      <x:c r="E6" s="4" t="str">
        <x:v>Page admins; message buyers</x:v>
      </x:c>
      <x:c r="F6" s="4" t="str">
        <x:v>Avoid implying Meta endorsement</x:v>
      </x:c>
      <x:c r="G6" s="4" t="str">
        <x:v>Carousel vs testimonial</x:v>
      </x:c>
      <x:c r="H6" s="4" t="str">
        <x:v>Guide lead → trial</x:v>
      </x:c>
      <x:c r="I6" s="4" t="str">
        <x:v>ASSUMPTION</x:v>
      </x:c>
    </x:row>
    <x:row r="7">
      <x:c r="A7" s="4" t="str">
        <x:v>Six ready themes</x:v>
      </x:c>
      <x:c r="B7" s="4" t="str">
        <x:v>Pick a theme and publish without an agency brief.</x:v>
      </x:c>
      <x:c r="C7" s="4" t="str">
        <x:v>৬টি ready theme—fashion, gadget, kids ও আরও অনেক কিছু।</x:v>
      </x:c>
      <x:c r="D7" s="4" t="str">
        <x:v>Preview themes</x:v>
      </x:c>
      <x:c r="E7" s="4" t="str">
        <x:v>New business / boutique / gadget sellers</x:v>
      </x:c>
      <x:c r="F7" s="4" t="str">
        <x:v>Use only currently shipped themes</x:v>
      </x:c>
      <x:c r="G7" s="4" t="str">
        <x:v>Category-specific creative</x:v>
      </x:c>
      <x:c r="H7" s="4" t="str">
        <x:v>Theme preview → signup</x:v>
      </x:c>
      <x:c r="I7" s="4" t="str">
        <x:v>ASSUMPTION</x:v>
      </x:c>
    </x:row>
    <x:row r="8">
      <x:c r="A8" s="4" t="str">
        <x:v>Courier in one desk</x:v>
      </x:c>
      <x:c r="B8" s="4" t="str">
        <x:v>Book and track courier from the order workflow.</x:v>
      </x:c>
      <x:c r="C8" s="4" t="str">
        <x:v>Order থেকে courier booking—একই desk-এ।</x:v>
      </x:c>
      <x:c r="D8" s="4" t="str">
        <x:v>Book proof demo</x:v>
      </x:c>
      <x:c r="E8" s="4" t="str">
        <x:v>Warm trials and activated stores</x:v>
      </x:c>
      <x:c r="F8" s="4" t="str">
        <x:v>Launch only after real courier booking is proven end-to-end</x:v>
      </x:c>
      <x:c r="G8" s="4" t="str">
        <x:v>Proof clip by courier</x:v>
      </x:c>
      <x:c r="H8" s="4" t="str">
        <x:v>Activated → first booking</x:v>
      </x:c>
      <x:c r="I8" s="4" t="str">
        <x:v>ASSUMPTION</x:v>
      </x:c>
    </x:row>
    <x:row r="9">
      <x:c r="A9" s="4" t="str">
        <x:v>Founding merchant program</x:v>
      </x:c>
      <x:c r="B9" s="4" t="str">
        <x:v>Hands-on onboarding in exchange for honest feedback.</x:v>
      </x:c>
      <x:c r="C9" s="4" t="str">
        <x:v>Founding merchant হন—setup support নিন, honest feedback দিন।</x:v>
      </x:c>
      <x:c r="D9" s="4" t="str">
        <x:v>Apply</x:v>
      </x:c>
      <x:c r="E9" s="4" t="str">
        <x:v>Retarget demo/pricing visitors</x:v>
      </x:c>
      <x:c r="F9" s="4" t="str">
        <x:v>Define capacity, terms and end date</x:v>
      </x:c>
      <x:c r="G9" s="4" t="str">
        <x:v>Capacity counter vs founder video</x:v>
      </x:c>
      <x:c r="H9" s="4" t="str">
        <x:v>Qualified application → paid</x:v>
      </x:c>
      <x:c r="I9" s="4" t="str">
        <x:v>ASSUMPTION</x:v>
      </x:c>
    </x:row>
  </x:sheetData>
  <x:pageMargins left="0.7" right="0.7" top="0.75" bottom="0.75" header="0.3" footer="0.3"/>
</x:worksheet>
</file>

<file path=xl/worksheets/sheet7.xml><?xml version="1.0" encoding="utf-8"?>
<x:worksheet xmlns:x="http://schemas.openxmlformats.org/spreadsheetml/2006/main">
  <x:sheetPr>
    <x:tabColor rgb="FF7C3AED"/>
  </x:sheetPr>
  <x:sheetViews>
    <x:sheetView showGridLines="0" workbookViewId="0">
      <x:pane ySplit="1" topLeftCell="A2" activePane="bottomLeft" state="frozen"/>
    </x:sheetView>
  </x:sheetViews>
  <x:sheetFormatPr defaultRowHeight="15"/>
  <x:cols>
    <x:col min="1" max="1" width="12" hidden="0" customWidth="1"/>
    <x:col min="2" max="2" width="48" hidden="0" customWidth="1"/>
    <x:col min="3" max="3" width="13" hidden="0" customWidth="1"/>
    <x:col min="4" max="4" width="18" hidden="0" customWidth="1"/>
    <x:col min="5" max="5" width="34" hidden="0" customWidth="1"/>
    <x:col min="6" max="6" width="48" hidden="0" customWidth="1"/>
    <x:col min="7" max="7" width="13" hidden="0" customWidth="1"/>
  </x:cols>
  <x:sheetData>
    <x:row r="1" ht="30" customHeight="1">
      <x:c r="A1" s="6" t="str">
        <x:v>Priority</x:v>
      </x:c>
      <x:c r="B1" s="6" t="str">
        <x:v>Keyword</x:v>
      </x:c>
      <x:c r="C1" s="6" t="str">
        <x:v>Language</x:v>
      </x:c>
      <x:c r="D1" s="6" t="str">
        <x:v>Intent</x:v>
      </x:c>
      <x:c r="E1" s="6" t="str">
        <x:v>Suggested destination</x:v>
      </x:c>
      <x:c r="F1" s="6" t="str">
        <x:v>Evidence / use note</x:v>
      </x:c>
      <x:c r="G1" s="6" t="str">
        <x:v>Label</x:v>
      </x:c>
    </x:row>
    <x:row r="2">
      <x:c r="A2" s="4" t="str">
        <x:v>High</x:v>
      </x:c>
      <x:c r="B2" s="4" t="str">
        <x:v>ecommerce website builder bangladesh</x:v>
      </x:c>
      <x:c r="C2" s="4" t="str">
        <x:v>EN</x:v>
      </x:c>
      <x:c r="D2" s="4" t="str">
        <x:v>Commercial</x:v>
      </x:c>
      <x:c r="E2" s="4" t="str">
        <x:v>Landing page</x:v>
      </x:c>
      <x:c r="F2" s="4" t="str">
        <x:v>Core category term; validate volume before forecasting</x:v>
      </x:c>
      <x:c r="G2" s="4" t="str">
        <x:v>ASSUMPTION</x:v>
      </x:c>
    </x:row>
    <x:row r="3">
      <x:c r="A3" s="4" t="str">
        <x:v>High</x:v>
      </x:c>
      <x:c r="B3" s="4" t="str">
        <x:v>online store builder bangladesh</x:v>
      </x:c>
      <x:c r="C3" s="4" t="str">
        <x:v>EN</x:v>
      </x:c>
      <x:c r="D3" s="4" t="str">
        <x:v>Commercial</x:v>
      </x:c>
      <x:c r="E3" s="4" t="str">
        <x:v>Landing page</x:v>
      </x:c>
      <x:c r="F3" s="4" t="str">
        <x:v>Core alternative wording</x:v>
      </x:c>
      <x:c r="G3" s="4" t="str">
        <x:v>ASSUMPTION</x:v>
      </x:c>
    </x:row>
    <x:row r="4">
      <x:c r="A4" s="4" t="str">
        <x:v>High</x:v>
      </x:c>
      <x:c r="B4" s="4" t="str">
        <x:v>বাংলাদেশে অনলাইন স্টোর বানানোর সফটওয়্যার</x:v>
      </x:c>
      <x:c r="C4" s="4" t="str">
        <x:v>BN</x:v>
      </x:c>
      <x:c r="D4" s="4" t="str">
        <x:v>Commercial</x:v>
      </x:c>
      <x:c r="E4" s="4" t="str">
        <x:v>Bangla landing page</x:v>
      </x:c>
      <x:c r="F4" s="4" t="str">
        <x:v>Language-localized category term</x:v>
      </x:c>
      <x:c r="G4" s="4" t="str">
        <x:v>ASSUMPTION</x:v>
      </x:c>
    </x:row>
    <x:row r="5">
      <x:c r="A5" s="4" t="str">
        <x:v>High</x:v>
      </x:c>
      <x:c r="B5" s="4" t="str">
        <x:v>facebook order management software bangladesh</x:v>
      </x:c>
      <x:c r="C5" s="4" t="str">
        <x:v>EN</x:v>
      </x:c>
      <x:c r="D5" s="4" t="str">
        <x:v>Commercial</x:v>
      </x:c>
      <x:c r="E5" s="4" t="str">
        <x:v>Order management page</x:v>
      </x:c>
      <x:c r="F5" s="4" t="str">
        <x:v>Pain-led category term</x:v>
      </x:c>
      <x:c r="G5" s="4" t="str">
        <x:v>ASSUMPTION</x:v>
      </x:c>
    </x:row>
    <x:row r="6">
      <x:c r="A6" s="4" t="str">
        <x:v>High</x:v>
      </x:c>
      <x:c r="B6" s="4" t="str">
        <x:v>courier integration ecommerce bangladesh</x:v>
      </x:c>
      <x:c r="C6" s="4" t="str">
        <x:v>EN</x:v>
      </x:c>
      <x:c r="D6" s="4" t="str">
        <x:v>Commercial</x:v>
      </x:c>
      <x:c r="E6" s="4" t="str">
        <x:v>Courier integration page</x:v>
      </x:c>
      <x:c r="F6" s="4" t="str">
        <x:v>Integration-led term</x:v>
      </x:c>
      <x:c r="G6" s="4" t="str">
        <x:v>ASSUMPTION</x:v>
      </x:c>
    </x:row>
    <x:row r="7">
      <x:c r="A7" s="4" t="str">
        <x:v>High</x:v>
      </x:c>
      <x:c r="B7" s="4" t="str">
        <x:v>bKash payment verification ecommerce</x:v>
      </x:c>
      <x:c r="C7" s="4" t="str">
        <x:v>EN</x:v>
      </x:c>
      <x:c r="D7" s="4" t="str">
        <x:v>Commercial</x:v>
      </x:c>
      <x:c r="E7" s="4" t="str">
        <x:v>Payment verification page</x:v>
      </x:c>
      <x:c r="F7" s="4" t="str">
        <x:v>Distinct local workflow</x:v>
      </x:c>
      <x:c r="G7" s="4" t="str">
        <x:v>ASSUMPTION</x:v>
      </x:c>
    </x:row>
    <x:row r="8">
      <x:c r="A8" s="4" t="str">
        <x:v>High</x:v>
      </x:c>
      <x:c r="B8" s="4" t="str">
        <x:v>fake order checker bangladesh</x:v>
      </x:c>
      <x:c r="C8" s="4" t="str">
        <x:v>EN</x:v>
      </x:c>
      <x:c r="D8" s="4" t="str">
        <x:v>Tool</x:v>
      </x:c>
      <x:c r="E8" s="4" t="str">
        <x:v>Free fraud checker</x:v>
      </x:c>
      <x:c r="F8" s="4" t="str">
        <x:v>Lead-magnet intent</x:v>
      </x:c>
      <x:c r="G8" s="4" t="str">
        <x:v>ASSUMPTION</x:v>
      </x:c>
    </x:row>
    <x:row r="9">
      <x:c r="A9" s="4" t="str">
        <x:v>High</x:v>
      </x:c>
      <x:c r="B9" s="4" t="str">
        <x:v>ফেক অর্ডার চেক</x:v>
      </x:c>
      <x:c r="C9" s="4" t="str">
        <x:v>BN</x:v>
      </x:c>
      <x:c r="D9" s="4" t="str">
        <x:v>Tool</x:v>
      </x:c>
      <x:c r="E9" s="4" t="str">
        <x:v>Free fraud checker</x:v>
      </x:c>
      <x:c r="F9" s="4" t="str">
        <x:v>Bangla pain query</x:v>
      </x:c>
      <x:c r="G9" s="4" t="str">
        <x:v>ASSUMPTION</x:v>
      </x:c>
    </x:row>
    <x:row r="10">
      <x:c r="A10" s="4" t="str">
        <x:v>Medium</x:v>
      </x:c>
      <x:c r="B10" s="4" t="str">
        <x:v>cash on delivery fraud bangladesh</x:v>
      </x:c>
      <x:c r="C10" s="4" t="str">
        <x:v>EN</x:v>
      </x:c>
      <x:c r="D10" s="4" t="str">
        <x:v>Informational</x:v>
      </x:c>
      <x:c r="E10" s="4" t="str">
        <x:v>Guide + calculator</x:v>
      </x:c>
      <x:c r="F10" s="4" t="str">
        <x:v>Education-to-tool journey</x:v>
      </x:c>
      <x:c r="G10" s="4" t="str">
        <x:v>ASSUMPTION</x:v>
      </x:c>
    </x:row>
    <x:row r="11">
      <x:c r="A11" s="4" t="str">
        <x:v>Medium</x:v>
      </x:c>
      <x:c r="B11" s="4" t="str">
        <x:v>ecommerce profit calculator bangladesh</x:v>
      </x:c>
      <x:c r="C11" s="4" t="str">
        <x:v>EN</x:v>
      </x:c>
      <x:c r="D11" s="4" t="str">
        <x:v>Tool</x:v>
      </x:c>
      <x:c r="E11" s="4" t="str">
        <x:v>Profit calculator</x:v>
      </x:c>
      <x:c r="F11" s="4" t="str">
        <x:v>Operations tool intent</x:v>
      </x:c>
      <x:c r="G11" s="4" t="str">
        <x:v>ASSUMPTION</x:v>
      </x:c>
    </x:row>
    <x:row r="12">
      <x:c r="A12" s="4" t="str">
        <x:v>Medium</x:v>
      </x:c>
      <x:c r="B12" s="4" t="str">
        <x:v>online business হিসাব সফটওয়্যার</x:v>
      </x:c>
      <x:c r="C12" s="4" t="str">
        <x:v>Mixed</x:v>
      </x:c>
      <x:c r="D12" s="4" t="str">
        <x:v>Commercial</x:v>
      </x:c>
      <x:c r="E12" s="4" t="str">
        <x:v>Profit dashboard page</x:v>
      </x:c>
      <x:c r="F12" s="4" t="str">
        <x:v>Banglish operations term</x:v>
      </x:c>
      <x:c r="G12" s="4" t="str">
        <x:v>ASSUMPTION</x:v>
      </x:c>
    </x:row>
    <x:row r="13">
      <x:c r="A13" s="4" t="str">
        <x:v>Medium</x:v>
      </x:c>
      <x:c r="B13" s="4" t="str">
        <x:v>inventory software for facebook sellers</x:v>
      </x:c>
      <x:c r="C13" s="4" t="str">
        <x:v>EN</x:v>
      </x:c>
      <x:c r="D13" s="4" t="str">
        <x:v>Commercial</x:v>
      </x:c>
      <x:c r="E13" s="4" t="str">
        <x:v>Inventory page</x:v>
      </x:c>
      <x:c r="F13" s="4" t="str">
        <x:v>Social-seller use case</x:v>
      </x:c>
      <x:c r="G13" s="4" t="str">
        <x:v>ASSUMPTION</x:v>
      </x:c>
    </x:row>
    <x:row r="14">
      <x:c r="A14" s="4" t="str">
        <x:v>Medium</x:v>
      </x:c>
      <x:c r="B14" s="4" t="str">
        <x:v>best ecommerce platform in bangladesh</x:v>
      </x:c>
      <x:c r="C14" s="4" t="str">
        <x:v>EN</x:v>
      </x:c>
      <x:c r="D14" s="4" t="str">
        <x:v>Comparison</x:v>
      </x:c>
      <x:c r="E14" s="4" t="str">
        <x:v>Comparison hub</x:v>
      </x:c>
      <x:c r="F14" s="4" t="str">
        <x:v>Requires balanced evidence-led page</x:v>
      </x:c>
      <x:c r="G14" s="4" t="str">
        <x:v>ASSUMPTION</x:v>
      </x:c>
    </x:row>
    <x:row r="15">
      <x:c r="A15" s="4" t="str">
        <x:v>Medium</x:v>
      </x:c>
      <x:c r="B15" s="4" t="str">
        <x:v>shopify alternative bangladesh</x:v>
      </x:c>
      <x:c r="C15" s="4" t="str">
        <x:v>EN</x:v>
      </x:c>
      <x:c r="D15" s="4" t="str">
        <x:v>Comparison</x:v>
      </x:c>
      <x:c r="E15" s="4" t="str">
        <x:v>Shopify alternative page</x:v>
      </x:c>
      <x:c r="F15" s="4" t="str">
        <x:v>Avoid one-sided claims</x:v>
      </x:c>
      <x:c r="G15" s="4" t="str">
        <x:v>ASSUMPTION</x:v>
      </x:c>
    </x:row>
    <x:row r="16">
      <x:c r="A16" s="4" t="str">
        <x:v>Medium</x:v>
      </x:c>
      <x:c r="B16" s="4" t="str">
        <x:v>woocommerce alternative bangladesh</x:v>
      </x:c>
      <x:c r="C16" s="4" t="str">
        <x:v>EN</x:v>
      </x:c>
      <x:c r="D16" s="4" t="str">
        <x:v>Comparison</x:v>
      </x:c>
      <x:c r="E16" s="4" t="str">
        <x:v>WooCommerce alternative page</x:v>
      </x:c>
      <x:c r="F16" s="4" t="str">
        <x:v>Frame total cost and control honestly</x:v>
      </x:c>
      <x:c r="G16" s="4" t="str">
        <x:v>ASSUMPTION</x:v>
      </x:c>
    </x:row>
    <x:row r="17">
      <x:c r="A17" s="4" t="str">
        <x:v>Medium</x:v>
      </x:c>
      <x:c r="B17" s="4" t="str">
        <x:v>StoreX alternative</x:v>
      </x:c>
      <x:c r="C17" s="4" t="str">
        <x:v>EN</x:v>
      </x:c>
      <x:c r="D17" s="4" t="str">
        <x:v>Comparison</x:v>
      </x:c>
      <x:c r="E17" s="4" t="str">
        <x:v>StoreX alternative page</x:v>
      </x:c>
      <x:c r="F17" s="4" t="str">
        <x:v>Use verified current facts</x:v>
      </x:c>
      <x:c r="G17" s="4" t="str">
        <x:v>ASSUMPTION</x:v>
      </x:c>
    </x:row>
    <x:row r="18">
      <x:c r="A18" s="4" t="str">
        <x:v>Medium</x:v>
      </x:c>
      <x:c r="B18" s="4" t="str">
        <x:v>Zatiq alternative</x:v>
      </x:c>
      <x:c r="C18" s="4" t="str">
        <x:v>EN</x:v>
      </x:c>
      <x:c r="D18" s="4" t="str">
        <x:v>Comparison</x:v>
      </x:c>
      <x:c r="E18" s="4" t="str">
        <x:v>Zatiq alternative page</x:v>
      </x:c>
      <x:c r="F18" s="4" t="str">
        <x:v>Use verified current facts</x:v>
      </x:c>
      <x:c r="G18" s="4" t="str">
        <x:v>ASSUMPTION</x:v>
      </x:c>
    </x:row>
    <x:row r="19">
      <x:c r="A19" s="4" t="str">
        <x:v>Low</x:v>
      </x:c>
      <x:c r="B19" s="4" t="str">
        <x:v>how to create ecommerce website in bangladesh</x:v>
      </x:c>
      <x:c r="C19" s="4" t="str">
        <x:v>EN</x:v>
      </x:c>
      <x:c r="D19" s="4" t="str">
        <x:v>Informational</x:v>
      </x:c>
      <x:c r="E19" s="4" t="str">
        <x:v>Long-form guide</x:v>
      </x:c>
      <x:c r="F19" s="4" t="str">
        <x:v>Top-of-funnel tutorial</x:v>
      </x:c>
      <x:c r="G19" s="4" t="str">
        <x:v>ASSUMPTION</x:v>
      </x:c>
    </x:row>
    <x:row r="20">
      <x:c r="A20" s="4" t="str">
        <x:v>Low</x:v>
      </x:c>
      <x:c r="B20" s="4" t="str">
        <x:v>facebook page থেকে website</x:v>
      </x:c>
      <x:c r="C20" s="4" t="str">
        <x:v>Mixed</x:v>
      </x:c>
      <x:c r="D20" s="4" t="str">
        <x:v>Informational</x:v>
      </x:c>
      <x:c r="E20" s="4" t="str">
        <x:v>Migration guide</x:v>
      </x:c>
      <x:c r="F20" s="4" t="str">
        <x:v>Migration pain term</x:v>
      </x:c>
      <x:c r="G20" s="4" t="str">
        <x:v>ASSUMPTION</x:v>
      </x:c>
    </x:row>
    <x:row r="21">
      <x:c r="A21" s="4" t="str">
        <x:v>Low</x:v>
      </x:c>
      <x:c r="B21" s="4" t="str">
        <x:v>Pathao Steadfast courier integration</x:v>
      </x:c>
      <x:c r="C21" s="4" t="str">
        <x:v>EN</x:v>
      </x:c>
      <x:c r="D21" s="4" t="str">
        <x:v>Commercial</x:v>
      </x:c>
      <x:c r="E21" s="4" t="str">
        <x:v>Courier comparison/integration page</x:v>
      </x:c>
      <x:c r="F21" s="4" t="str">
        <x:v>Publish only after integrations are proven</x:v>
      </x:c>
      <x:c r="G21" s="4" t="str">
        <x:v>ASSUMPTION</x:v>
      </x:c>
    </x:row>
  </x:sheetData>
  <x:conditionalFormatting sqref="A2:A21">
    <x:cfRule type="containsText" dxfId="3" priority="1" operator="containsText" text="High"/>
  </x:conditionalFormatting>
  <x:pageMargins left="0.7" right="0.7" top="0.75" bottom="0.75" header="0.3" footer="0.3"/>
</x:worksheet>
</file>

<file path=xl/worksheets/sheet8.xml><?xml version="1.0" encoding="utf-8"?>
<x:worksheet xmlns:x="http://schemas.openxmlformats.org/spreadsheetml/2006/main">
  <x:sheetPr>
    <x:tabColor rgb="FF2563EB"/>
  </x:sheetPr>
  <x:sheetViews>
    <x:sheetView showGridLines="0" workbookViewId="0">
      <x:pane ySplit="1" topLeftCell="A2" activePane="bottomLeft" state="frozen"/>
    </x:sheetView>
  </x:sheetViews>
  <x:sheetFormatPr defaultRowHeight="15"/>
  <x:cols>
    <x:col min="1" max="1" width="34" hidden="0" customWidth="1"/>
    <x:col min="2" max="2" width="22" hidden="0" customWidth="1"/>
    <x:col min="3" max="3" width="22" hidden="0" customWidth="1"/>
    <x:col min="4" max="4" width="25" hidden="0" customWidth="1"/>
    <x:col min="5" max="5" width="52" hidden="0" customWidth="1"/>
  </x:cols>
  <x:sheetData>
    <x:row r="1" ht="30" customHeight="1">
      <x:c r="A1" s="6" t="str">
        <x:v>Metric</x:v>
      </x:c>
      <x:c r="B1" s="6" t="str">
        <x:v>Lean test</x:v>
      </x:c>
      <x:c r="C1" s="6" t="str">
        <x:v>Base test</x:v>
      </x:c>
      <x:c r="D1" s="6" t="str">
        <x:v>Growth test</x:v>
      </x:c>
      <x:c r="E1" s="6" t="str">
        <x:v>Type / note</x:v>
      </x:c>
    </x:row>
    <x:row r="2">
      <x:c r="A2" s="4" t="str">
        <x:v>Monthly paid-media spend (৳)</x:v>
      </x:c>
      <x:c r="B2" s="14" t="n">
        <x:v>15000</x:v>
      </x:c>
      <x:c r="C2" s="14" t="n">
        <x:v>50000</x:v>
      </x:c>
      <x:c r="D2" s="14" t="n">
        <x:v>150000</x:v>
      </x:c>
      <x:c r="E2" s="4" t="str">
        <x:v>ASSUMPTION — editable</x:v>
      </x:c>
    </x:row>
    <x:row r="3">
      <x:c r="A3" s="4" t="str">
        <x:v>Estimated CPM (৳)</x:v>
      </x:c>
      <x:c r="B3" s="14" t="n">
        <x:v>180</x:v>
      </x:c>
      <x:c r="C3" s="14" t="n">
        <x:v>220</x:v>
      </x:c>
      <x:c r="D3" s="14" t="n">
        <x:v>260</x:v>
      </x:c>
      <x:c r="E3" s="4" t="str">
        <x:v>ASSUMPTION — validate from campaigns</x:v>
      </x:c>
    </x:row>
    <x:row r="4">
      <x:c r="A4" s="4" t="str">
        <x:v>Link CTR</x:v>
      </x:c>
      <x:c r="B4" s="15" t="n">
        <x:v>0.01</x:v>
      </x:c>
      <x:c r="C4" s="15" t="n">
        <x:v>0.012</x:v>
      </x:c>
      <x:c r="D4" s="15" t="n">
        <x:v>0.014</x:v>
      </x:c>
      <x:c r="E4" s="4" t="str">
        <x:v>ASSUMPTION — validate</x:v>
      </x:c>
    </x:row>
    <x:row r="5">
      <x:c r="A5" s="4" t="str">
        <x:v>Click → signup</x:v>
      </x:c>
      <x:c r="B5" s="15" t="n">
        <x:v>0.03</x:v>
      </x:c>
      <x:c r="C5" s="15" t="n">
        <x:v>0.04</x:v>
      </x:c>
      <x:c r="D5" s="15" t="n">
        <x:v>0.05</x:v>
      </x:c>
      <x:c r="E5" s="4" t="str">
        <x:v>ASSUMPTION — validate</x:v>
      </x:c>
    </x:row>
    <x:row r="6">
      <x:c r="A6" s="4" t="str">
        <x:v>Signup → activated store</x:v>
      </x:c>
      <x:c r="B6" s="15" t="n">
        <x:v>0.2</x:v>
      </x:c>
      <x:c r="C6" s="15" t="n">
        <x:v>0.25</x:v>
      </x:c>
      <x:c r="D6" s="15" t="n">
        <x:v>0.3</x:v>
      </x:c>
      <x:c r="E6" s="4" t="str">
        <x:v>ASSUMPTION — activation = published + setup complete</x:v>
      </x:c>
    </x:row>
    <x:row r="7">
      <x:c r="A7" s="4" t="str">
        <x:v>Activated → paid</x:v>
      </x:c>
      <x:c r="B7" s="15" t="n">
        <x:v>0.1</x:v>
      </x:c>
      <x:c r="C7" s="15" t="n">
        <x:v>0.15</x:v>
      </x:c>
      <x:c r="D7" s="15" t="n">
        <x:v>0.18</x:v>
      </x:c>
      <x:c r="E7" s="4" t="str">
        <x:v>ASSUMPTION — validate after trial</x:v>
      </x:c>
    </x:row>
    <x:row r="8">
      <x:c r="A8" s="4" t="str">
        <x:v>Month-3 logo retention</x:v>
      </x:c>
      <x:c r="B8" s="15" t="n">
        <x:v>0.7</x:v>
      </x:c>
      <x:c r="C8" s="15" t="n">
        <x:v>0.75</x:v>
      </x:c>
      <x:c r="D8" s="15" t="n">
        <x:v>0.8</x:v>
      </x:c>
      <x:c r="E8" s="4" t="str">
        <x:v>ASSUMPTION — cohort metric</x:v>
      </x:c>
    </x:row>
    <x:row r="9">
      <x:c r="A9" s="4" t="str">
        <x:v>Impressions</x:v>
      </x:c>
      <x:c r="B9" s="16" t="n">
        <x:f>B2/B3*1000</x:f>
        <x:v>83333.33333333333</x:v>
      </x:c>
      <x:c r="C9" s="16" t="n">
        <x:f>C2/C3*1000</x:f>
        <x:v>227272.7272727273</x:v>
      </x:c>
      <x:c r="D9" s="16" t="n">
        <x:f>D2/D3*1000</x:f>
        <x:v>576923.0769230769</x:v>
      </x:c>
      <x:c r="E9" s="4" t="str">
        <x:v>FORMULA</x:v>
      </x:c>
    </x:row>
    <x:row r="10">
      <x:c r="A10" s="4" t="str">
        <x:v>Clicks</x:v>
      </x:c>
      <x:c r="B10" s="16" t="n">
        <x:f>B9*B4</x:f>
        <x:v>833.3333333333333</x:v>
      </x:c>
      <x:c r="C10" s="16" t="n">
        <x:f>C9*C4</x:f>
        <x:v>2727.2727272727275</x:v>
      </x:c>
      <x:c r="D10" s="16" t="n">
        <x:f>D9*D4</x:f>
        <x:v>8076.923076923076</x:v>
      </x:c>
      <x:c r="E10" s="4" t="str">
        <x:v>FORMULA</x:v>
      </x:c>
    </x:row>
    <x:row r="11">
      <x:c r="A11" s="4" t="str">
        <x:v>Signups</x:v>
      </x:c>
      <x:c r="B11" s="16" t="n">
        <x:f>B10*B5</x:f>
        <x:v>24.999999999999996</x:v>
      </x:c>
      <x:c r="C11" s="16" t="n">
        <x:f>C10*C5</x:f>
        <x:v>109.09090909090911</x:v>
      </x:c>
      <x:c r="D11" s="16" t="n">
        <x:f>D10*D5</x:f>
        <x:v>403.8461538461538</x:v>
      </x:c>
      <x:c r="E11" s="4" t="str">
        <x:v>FORMULA</x:v>
      </x:c>
    </x:row>
    <x:row r="12">
      <x:c r="A12" s="4" t="str">
        <x:v>Activated stores</x:v>
      </x:c>
      <x:c r="B12" s="16" t="n">
        <x:f>B11*B6</x:f>
        <x:v>5</x:v>
      </x:c>
      <x:c r="C12" s="16" t="n">
        <x:f>C11*C6</x:f>
        <x:v>27.272727272727277</x:v>
      </x:c>
      <x:c r="D12" s="16" t="n">
        <x:f>D11*D6</x:f>
        <x:v>121.15384615384613</x:v>
      </x:c>
      <x:c r="E12" s="4" t="str">
        <x:v>FORMULA</x:v>
      </x:c>
    </x:row>
    <x:row r="13">
      <x:c r="A13" s="4" t="str">
        <x:v>New paid merchants</x:v>
      </x:c>
      <x:c r="B13" s="16" t="n">
        <x:f>B12*B7</x:f>
        <x:v>0.5</x:v>
      </x:c>
      <x:c r="C13" s="16" t="n">
        <x:f>C12*C7</x:f>
        <x:v>4.090909090909092</x:v>
      </x:c>
      <x:c r="D13" s="16" t="n">
        <x:f>D12*D7</x:f>
        <x:v>21.807692307692303</x:v>
      </x:c>
      <x:c r="E13" s="4" t="str">
        <x:v>FORMULA</x:v>
      </x:c>
    </x:row>
    <x:row r="14">
      <x:c r="A14" s="4" t="str">
        <x:v>Cost per signup (৳)</x:v>
      </x:c>
      <x:c r="B14" s="17" t="n">
        <x:f>ROUND(IFERROR(B2/B11,0),2)</x:f>
        <x:v>600</x:v>
      </x:c>
      <x:c r="C14" s="17" t="n">
        <x:f>ROUND(IFERROR(C2/C11,0),2)</x:f>
        <x:v>458.33</x:v>
      </x:c>
      <x:c r="D14" s="17" t="n">
        <x:f>ROUND(IFERROR(D2/D11,0),2)</x:f>
        <x:v>371.43</x:v>
      </x:c>
      <x:c r="E14" s="4" t="str">
        <x:v>FORMULA</x:v>
      </x:c>
    </x:row>
    <x:row r="15">
      <x:c r="A15" s="4" t="str">
        <x:v>Cost per activated store (৳)</x:v>
      </x:c>
      <x:c r="B15" s="17" t="n">
        <x:f>ROUND(IFERROR(B2/B12,0),2)</x:f>
        <x:v>3000</x:v>
      </x:c>
      <x:c r="C15" s="17" t="n">
        <x:f>ROUND(IFERROR(C2/C12,0),2)</x:f>
        <x:v>1833.33</x:v>
      </x:c>
      <x:c r="D15" s="17" t="n">
        <x:f>ROUND(IFERROR(D2/D12,0),2)</x:f>
        <x:v>1238.1</x:v>
      </x:c>
      <x:c r="E15" s="4" t="str">
        <x:v>FORMULA</x:v>
      </x:c>
    </x:row>
    <x:row r="16">
      <x:c r="A16" s="4" t="str">
        <x:v>Paid CAC (৳)</x:v>
      </x:c>
      <x:c r="B16" s="17" t="n">
        <x:f>ROUND(IFERROR(B2/B13,0),2)</x:f>
        <x:v>30000</x:v>
      </x:c>
      <x:c r="C16" s="17" t="n">
        <x:f>ROUND(IFERROR(C2/C13,0),2)</x:f>
        <x:v>12222.22</x:v>
      </x:c>
      <x:c r="D16" s="17" t="n">
        <x:f>ROUND(IFERROR(D2/D13,0),2)</x:f>
        <x:v>6878.31</x:v>
      </x:c>
      <x:c r="E16" s="4" t="str">
        <x:v>FORMULA</x:v>
      </x:c>
    </x:row>
    <x:row r="17">
      <x:c r="A17" s="4" t="str">
        <x:v>Month-3 retained merchants</x:v>
      </x:c>
      <x:c r="B17" s="16" t="n">
        <x:f>B13*B8</x:f>
        <x:v>0.35</x:v>
      </x:c>
      <x:c r="C17" s="16" t="n">
        <x:f>C13*C8</x:f>
        <x:v>3.068181818181819</x:v>
      </x:c>
      <x:c r="D17" s="16" t="n">
        <x:f>D13*D8</x:f>
        <x:v>17.446153846153845</x:v>
      </x:c>
      <x:c r="E17" s="4" t="str">
        <x:v>FORMULA</x:v>
      </x:c>
    </x:row>
    <x:row r="18">
      <x:c r="A18" s="4" t="str">
        <x:v>Decision note</x:v>
      </x:c>
      <x:c r="B18" s="4" t="str">
        <x:v>Buy learning, not scale</x:v>
      </x:c>
      <x:c r="C18" s="4" t="str">
        <x:v>Scale only validated creatives</x:v>
      </x:c>
      <x:c r="D18" s="4" t="str">
        <x:v>Requires stable activation and retention</x:v>
      </x:c>
      <x:c r="E18" s="4" t="str">
        <x:v>INFERENCE</x:v>
      </x:c>
    </x:row>
    <x:row r="19">
      <x:c r="A19" s="4"/>
      <x:c r="B19" s="4"/>
      <x:c r="C19" s="4"/>
      <x:c r="D19" s="4"/>
      <x:c r="E19" s="4"/>
    </x:row>
    <x:row r="21">
      <x:c r="A21" s="9" t="str">
        <x:v>Model scope: paid social only. It deliberately excludes organic, referral, assisted sales and revenue because current traffic, conversion, retention and ARPA baselines were not provided. Replace orange inputs with real campaign and cohort data before using for financial commitments.</x:v>
      </x:c>
    </x:row>
  </x:sheetData>
  <x:mergeCells>
    <x:mergeCell ref="A21:E21"/>
  </x:mergeCells>
  <x:pageMargins left="0.7" right="0.7" top="0.75" bottom="0.75" header="0.3" footer="0.3"/>
</x:worksheet>
</file>

<file path=xl/worksheets/sheet9.xml><?xml version="1.0" encoding="utf-8"?>
<x:worksheet xmlns:x="http://schemas.openxmlformats.org/spreadsheetml/2006/main">
  <x:sheetPr>
    <x:tabColor rgb="FF7C3AED"/>
  </x:sheetPr>
  <x:sheetViews>
    <x:sheetView showGridLines="0" workbookViewId="0">
      <x:pane ySplit="1" topLeftCell="A2" activePane="bottomLeft" state="frozen"/>
    </x:sheetView>
  </x:sheetViews>
  <x:sheetFormatPr defaultRowHeight="15"/>
  <x:cols>
    <x:col min="1" max="1" width="9" hidden="0" customWidth="1"/>
    <x:col min="2" max="2" width="12" hidden="0" customWidth="1"/>
    <x:col min="3" max="3" width="23" hidden="0" customWidth="1"/>
    <x:col min="4" max="4" width="66" hidden="0" customWidth="1"/>
    <x:col min="5" max="5" width="25" hidden="0" customWidth="1"/>
    <x:col min="6" max="6" width="34" hidden="0" customWidth="1"/>
    <x:col min="7" max="7" width="16" hidden="0" customWidth="1"/>
    <x:col min="8" max="8" width="13" hidden="0" customWidth="1"/>
  </x:cols>
  <x:sheetData>
    <x:row r="1" ht="30" customHeight="1">
      <x:c r="A1" s="6" t="str">
        <x:v>Week</x:v>
      </x:c>
      <x:c r="B1" s="6" t="str">
        <x:v>Window</x:v>
      </x:c>
      <x:c r="C1" s="6" t="str">
        <x:v>Workstream</x:v>
      </x:c>
      <x:c r="D1" s="6" t="str">
        <x:v>Action / deliverable</x:v>
      </x:c>
      <x:c r="E1" s="6" t="str">
        <x:v>Owner</x:v>
      </x:c>
      <x:c r="F1" s="6" t="str">
        <x:v>Acceptance metric</x:v>
      </x:c>
      <x:c r="G1" s="6" t="str">
        <x:v>Cost band</x:v>
      </x:c>
      <x:c r="H1" s="6" t="str">
        <x:v>Priority</x:v>
      </x:c>
    </x:row>
    <x:row r="2">
      <x:c r="A2" s="4" t="n">
        <x:v>1</x:v>
      </x:c>
      <x:c r="B2" s="4" t="str">
        <x:v>0–30</x:v>
      </x:c>
      <x:c r="C2" s="4" t="str">
        <x:v>Truth and measurement</x:v>
      </x:c>
      <x:c r="D2" s="4" t="str">
        <x:v>Remove or label unverified merchant stories; reconcile card, courier, SMS and 30-second claims</x:v>
      </x:c>
      <x:c r="E2" s="4" t="str">
        <x:v>Founder + Product</x:v>
      </x:c>
      <x:c r="F2" s="4" t="str">
        <x:v>Zero unsupported live claims</x:v>
      </x:c>
      <x:c r="G2" s="4" t="str">
        <x:v>Low</x:v>
      </x:c>
      <x:c r="H2" s="4" t="str">
        <x:v>Critical</x:v>
      </x:c>
    </x:row>
    <x:row r="3">
      <x:c r="A3" s="4" t="n">
        <x:v>2</x:v>
      </x:c>
      <x:c r="B3" s="4" t="str">
        <x:v>0–30</x:v>
      </x:c>
      <x:c r="C3" s="4" t="str">
        <x:v>Mobile conversion</x:v>
      </x:c>
      <x:c r="D3" s="4" t="str">
        <x:v>Fix horizontal overflow and replace desktop nav with a mobile menu</x:v>
      </x:c>
      <x:c r="E3" s="4" t="str">
        <x:v>Engineering</x:v>
      </x:c>
      <x:c r="F3" s="4" t="str">
        <x:v>No horizontal scroll at 390px</x:v>
      </x:c>
      <x:c r="G3" s="4" t="str">
        <x:v>Low–Medium</x:v>
      </x:c>
      <x:c r="H3" s="4" t="str">
        <x:v>Critical</x:v>
      </x:c>
    </x:row>
    <x:row r="4">
      <x:c r="A4" s="4" t="n">
        <x:v>3</x:v>
      </x:c>
      <x:c r="B4" s="4" t="str">
        <x:v>0–30</x:v>
      </x:c>
      <x:c r="C4" s="4" t="str">
        <x:v>Analytics</x:v>
      </x:c>
      <x:c r="D4" s="4" t="str">
        <x:v>Instrument demo_open, signup_start, signup_complete, store_published, first_order and paid</x:v>
      </x:c>
      <x:c r="E4" s="4" t="str">
        <x:v>Engineering + Growth</x:v>
      </x:c>
      <x:c r="F4" s="4" t="str">
        <x:v>Event QA passes end-to-end</x:v>
      </x:c>
      <x:c r="G4" s="4" t="str">
        <x:v>Medium</x:v>
      </x:c>
      <x:c r="H4" s="4" t="str">
        <x:v>Critical</x:v>
      </x:c>
    </x:row>
    <x:row r="5">
      <x:c r="A5" s="4" t="n">
        <x:v>4</x:v>
      </x:c>
      <x:c r="B5" s="4" t="str">
        <x:v>0–30</x:v>
      </x:c>
      <x:c r="C5" s="4" t="str">
        <x:v>Offer</x:v>
      </x:c>
      <x:c r="D5" s="4" t="str">
        <x:v>Define founding-merchant capacity, support scope, end date and qualification</x:v>
      </x:c>
      <x:c r="E5" s="4" t="str">
        <x:v>Founder</x:v>
      </x:c>
      <x:c r="F5" s="4" t="str">
        <x:v>Offer terms published</x:v>
      </x:c>
      <x:c r="G5" s="4" t="str">
        <x:v>Low</x:v>
      </x:c>
      <x:c r="H5" s="4" t="str">
        <x:v>High</x:v>
      </x:c>
    </x:row>
    <x:row r="6">
      <x:c r="A6" s="4" t="n">
        <x:v>5</x:v>
      </x:c>
      <x:c r="B6" s="4" t="str">
        <x:v>31–60</x:v>
      </x:c>
      <x:c r="C6" s="4" t="str">
        <x:v>Proof</x:v>
      </x:c>
      <x:c r="D6" s="4" t="str">
        <x:v>Recruit first 10 qualified founding merchants and record baseline problems</x:v>
      </x:c>
      <x:c r="E6" s="4" t="str">
        <x:v>Founder + Success</x:v>
      </x:c>
      <x:c r="F6" s="4" t="str">
        <x:v>10 qualified onboarded</x:v>
      </x:c>
      <x:c r="G6" s="4" t="str">
        <x:v>Medium</x:v>
      </x:c>
      <x:c r="H6" s="4" t="str">
        <x:v>High</x:v>
      </x:c>
    </x:row>
    <x:row r="7">
      <x:c r="A7" s="4" t="n">
        <x:v>6</x:v>
      </x:c>
      <x:c r="B7" s="4" t="str">
        <x:v>31–60</x:v>
      </x:c>
      <x:c r="C7" s="4" t="str">
        <x:v>Activation</x:v>
      </x:c>
      <x:c r="D7" s="4" t="str">
        <x:v>Run concierge onboarding; shorten signup step 1 and defer optional tagline</x:v>
      </x:c>
      <x:c r="E7" s="4" t="str">
        <x:v>Product + Success</x:v>
      </x:c>
      <x:c r="F7" s="4" t="str">
        <x:v>Signup → published baseline</x:v>
      </x:c>
      <x:c r="G7" s="4" t="str">
        <x:v>Medium</x:v>
      </x:c>
      <x:c r="H7" s="4" t="str">
        <x:v>High</x:v>
      </x:c>
    </x:row>
    <x:row r="8">
      <x:c r="A8" s="4" t="n">
        <x:v>7</x:v>
      </x:c>
      <x:c r="B8" s="4" t="str">
        <x:v>31–60</x:v>
      </x:c>
      <x:c r="C8" s="4" t="str">
        <x:v>Organic</x:v>
      </x:c>
      <x:c r="D8" s="4" t="str">
        <x:v>Publish the 4-week calendar and reuse winners in reels/shorts/email</x:v>
      </x:c>
      <x:c r="E8" s="4" t="str">
        <x:v>Growth</x:v>
      </x:c>
      <x:c r="F8" s="4" t="str">
        <x:v>20 planned assets shipped</x:v>
      </x:c>
      <x:c r="G8" s="4" t="str">
        <x:v>Medium</x:v>
      </x:c>
      <x:c r="H8" s="4" t="str">
        <x:v>High</x:v>
      </x:c>
    </x:row>
    <x:row r="9">
      <x:c r="A9" s="4" t="n">
        <x:v>8</x:v>
      </x:c>
      <x:c r="B9" s="4" t="str">
        <x:v>31–60</x:v>
      </x:c>
      <x:c r="C9" s="4" t="str">
        <x:v>Paid learning</x:v>
      </x:c>
      <x:c r="D9" s="4" t="str">
        <x:v>Launch 3 angles × 2 formats with small controlled budgets</x:v>
      </x:c>
      <x:c r="E9" s="4" t="str">
        <x:v>Growth</x:v>
      </x:c>
      <x:c r="F9" s="4" t="str">
        <x:v>At least 6 clean creative tests</x:v>
      </x:c>
      <x:c r="G9" s="4" t="str">
        <x:v>Medium</x:v>
      </x:c>
      <x:c r="H9" s="4" t="str">
        <x:v>High</x:v>
      </x:c>
    </x:row>
    <x:row r="10">
      <x:c r="A10" s="4" t="n">
        <x:v>9</x:v>
      </x:c>
      <x:c r="B10" s="4" t="str">
        <x:v>31–60</x:v>
      </x:c>
      <x:c r="C10" s="4" t="str">
        <x:v>Lead magnet</x:v>
      </x:c>
      <x:c r="D10" s="4" t="str">
        <x:v>Release fake-order cost calculator with consented follow-up</x:v>
      </x:c>
      <x:c r="E10" s="4" t="str">
        <x:v>Product + Growth</x:v>
      </x:c>
      <x:c r="F10" s="4" t="str">
        <x:v>Calculator start → demo baseline</x:v>
      </x:c>
      <x:c r="G10" s="4" t="str">
        <x:v>Medium</x:v>
      </x:c>
      <x:c r="H10" s="4" t="str">
        <x:v>Medium</x:v>
      </x:c>
    </x:row>
    <x:row r="11">
      <x:c r="A11" s="4" t="n">
        <x:v>10</x:v>
      </x:c>
      <x:c r="B11" s="4" t="str">
        <x:v>61–90</x:v>
      </x:c>
      <x:c r="C11" s="4" t="str">
        <x:v>Case studies</x:v>
      </x:c>
      <x:c r="D11" s="4" t="str">
        <x:v>Publish only consented, measured merchant outcomes with baseline and dates</x:v>
      </x:c>
      <x:c r="E11" s="4" t="str">
        <x:v>Founder + Growth</x:v>
      </x:c>
      <x:c r="F11" s="4" t="str">
        <x:v>3 verified stories</x:v>
      </x:c>
      <x:c r="G11" s="4" t="str">
        <x:v>Medium</x:v>
      </x:c>
      <x:c r="H11" s="4" t="str">
        <x:v>Critical</x:v>
      </x:c>
    </x:row>
    <x:row r="12">
      <x:c r="A12" s="4" t="n">
        <x:v>11</x:v>
      </x:c>
      <x:c r="B12" s="4" t="str">
        <x:v>61–90</x:v>
      </x:c>
      <x:c r="C12" s="4" t="str">
        <x:v>Lifecycle</x:v>
      </x:c>
      <x:c r="D12" s="4" t="str">
        <x:v>Build demo, signup, activation and trial-expiry email/SMS journeys</x:v>
      </x:c>
      <x:c r="E12" s="4" t="str">
        <x:v>Growth + Success</x:v>
      </x:c>
      <x:c r="F12" s="4" t="str">
        <x:v>Journey QA + opt-out works</x:v>
      </x:c>
      <x:c r="G12" s="4" t="str">
        <x:v>Medium</x:v>
      </x:c>
      <x:c r="H12" s="4" t="str">
        <x:v>High</x:v>
      </x:c>
    </x:row>
    <x:row r="13">
      <x:c r="A13" s="4" t="n">
        <x:v>12</x:v>
      </x:c>
      <x:c r="B13" s="4" t="str">
        <x:v>61–90</x:v>
      </x:c>
      <x:c r="C13" s="4" t="str">
        <x:v>Search</x:v>
      </x:c>
      <x:c r="D13" s="4" t="str">
        <x:v>Publish category, fraud-checker, payment and two balanced comparison pages</x:v>
      </x:c>
      <x:c r="E13" s="4" t="str">
        <x:v>Content + SEO</x:v>
      </x:c>
      <x:c r="F13" s="4" t="str">
        <x:v>5 evidence-led pages live</x:v>
      </x:c>
      <x:c r="G13" s="4" t="str">
        <x:v>Medium</x:v>
      </x:c>
      <x:c r="H13" s="4" t="str">
        <x:v>Medium</x:v>
      </x:c>
    </x:row>
    <x:row r="14">
      <x:c r="A14" s="4" t="n">
        <x:v>13</x:v>
      </x:c>
      <x:c r="B14" s="4" t="str">
        <x:v>61–90</x:v>
      </x:c>
      <x:c r="C14" s="4" t="str">
        <x:v>Scale decision</x:v>
      </x:c>
      <x:c r="D14" s="4" t="str">
        <x:v>Scale only if activation, paid conversion and early retention clear guardrails</x:v>
      </x:c>
      <x:c r="E14" s="4" t="str">
        <x:v>Founder + Growth</x:v>
      </x:c>
      <x:c r="F14" s="4" t="str">
        <x:v>Written scale/hold decision</x:v>
      </x:c>
      <x:c r="G14" s="4" t="str">
        <x:v>Variable</x:v>
      </x:c>
      <x:c r="H14" s="4" t="str">
        <x:v>Critical</x:v>
      </x:c>
    </x:row>
  </x:sheetData>
  <x:conditionalFormatting sqref="H2:H14">
    <x:cfRule type="containsText" dxfId="4" priority="1" operator="containsText" text="Critical"/>
  </x:conditionalFormatting>
  <x:pageMargins left="0.7" right="0.7" top="0.75" bottom="0.75" header="0.3" footer="0.3"/>
</x:worksheet>
</file>