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1 Setup" sheetId="3" state="visible" r:id="rId3"/>
    <sheet xmlns:r="http://schemas.openxmlformats.org/officeDocument/2006/relationships" name="2 Marketing site" sheetId="4" state="visible" r:id="rId4"/>
    <sheet xmlns:r="http://schemas.openxmlformats.org/officeDocument/2006/relationships" name="3 Store browse" sheetId="5" state="visible" r:id="rId5"/>
    <sheet xmlns:r="http://schemas.openxmlformats.org/officeDocument/2006/relationships" name="4 Cart &amp; checkout" sheetId="6" state="visible" r:id="rId6"/>
    <sheet xmlns:r="http://schemas.openxmlformats.org/officeDocument/2006/relationships" name="5 Customer account" sheetId="7" state="visible" r:id="rId7"/>
    <sheet xmlns:r="http://schemas.openxmlformats.org/officeDocument/2006/relationships" name="6 Admin access" sheetId="8" state="visible" r:id="rId8"/>
    <sheet xmlns:r="http://schemas.openxmlformats.org/officeDocument/2006/relationships" name="7 Admin orders" sheetId="9" state="visible" r:id="rId9"/>
    <sheet xmlns:r="http://schemas.openxmlformats.org/officeDocument/2006/relationships" name="8 Catalog &amp; stock" sheetId="10" state="visible" r:id="rId10"/>
    <sheet xmlns:r="http://schemas.openxmlformats.org/officeDocument/2006/relationships" name="9 Customers &amp; inbox" sheetId="11" state="visible" r:id="rId11"/>
    <sheet xmlns:r="http://schemas.openxmlformats.org/officeDocument/2006/relationships" name="10 Marketing &amp; growth" sheetId="12" state="visible" r:id="rId12"/>
    <sheet xmlns:r="http://schemas.openxmlformats.org/officeDocument/2006/relationships" name="11 Money &amp; reports" sheetId="13" state="visible" r:id="rId13"/>
    <sheet xmlns:r="http://schemas.openxmlformats.org/officeDocument/2006/relationships" name="12 Store design" sheetId="14" state="visible" r:id="rId14"/>
    <sheet xmlns:r="http://schemas.openxmlformats.org/officeDocument/2006/relationships" name="13 Settings &amp; team" sheetId="15" state="visible" r:id="rId15"/>
    <sheet xmlns:r="http://schemas.openxmlformats.org/officeDocument/2006/relationships" name="14 Platform admin" sheetId="16" state="visible" r:id="rId16"/>
    <sheet xmlns:r="http://schemas.openxmlformats.org/officeDocument/2006/relationships" name="15 Roles matrix" sheetId="17" state="visible" r:id="rId17"/>
    <sheet xmlns:r="http://schemas.openxmlformats.org/officeDocument/2006/relationships" name="16 Security &amp; privacy" sheetId="18" state="visible" r:id="rId18"/>
    <sheet xmlns:r="http://schemas.openxmlformats.org/officeDocument/2006/relationships" name="17 Quality" sheetId="19" state="visible" r:id="rId19"/>
    <sheet xmlns:r="http://schemas.openxmlformats.org/officeDocument/2006/relationships" name="18 Integrations" sheetId="20" state="visible" r:id="rId20"/>
    <sheet xmlns:r="http://schemas.openxmlformats.org/officeDocument/2006/relationships" name="19 Smoke (30 min)" sheetId="21" state="visible" r:id="rId21"/>
    <sheet xmlns:r="http://schemas.openxmlformats.org/officeDocument/2006/relationships" name="20 Release &amp; sign-off" sheetId="22" state="visible" r:id="rId22"/>
    <sheet xmlns:r="http://schemas.openxmlformats.org/officeDocument/2006/relationships" name="21 Defect log" sheetId="23" state="visible" r:id="rId23"/>
  </sheets>
  <definedNames>
    <definedName name="_xlnm._FilterDatabase" localSheetId="2" hidden="1">'1 Setup'!$A$3:$M$15</definedName>
    <definedName name="_xlnm.Print_Titles" localSheetId="2">'1 Setup'!$3:$3</definedName>
    <definedName name="_xlnm._FilterDatabase" localSheetId="3" hidden="1">'2 Marketing site'!$A$3:$M$32</definedName>
    <definedName name="_xlnm.Print_Titles" localSheetId="3">'2 Marketing site'!$3:$3</definedName>
    <definedName name="_xlnm._FilterDatabase" localSheetId="4" hidden="1">'3 Store browse'!$A$3:$M$35</definedName>
    <definedName name="_xlnm.Print_Titles" localSheetId="4">'3 Store browse'!$3:$3</definedName>
    <definedName name="_xlnm._FilterDatabase" localSheetId="5" hidden="1">'4 Cart &amp; checkout'!$A$3:$M$39</definedName>
    <definedName name="_xlnm.Print_Titles" localSheetId="5">'4 Cart &amp; checkout'!$3:$3</definedName>
    <definedName name="_xlnm._FilterDatabase" localSheetId="6" hidden="1">'5 Customer account'!$A$3:$M$21</definedName>
    <definedName name="_xlnm.Print_Titles" localSheetId="6">'5 Customer account'!$3:$3</definedName>
    <definedName name="_xlnm._FilterDatabase" localSheetId="7" hidden="1">'6 Admin access'!$A$3:$M$22</definedName>
    <definedName name="_xlnm.Print_Titles" localSheetId="7">'6 Admin access'!$3:$3</definedName>
    <definedName name="_xlnm._FilterDatabase" localSheetId="8" hidden="1">'7 Admin orders'!$A$3:$M$55</definedName>
    <definedName name="_xlnm.Print_Titles" localSheetId="8">'7 Admin orders'!$3:$3</definedName>
    <definedName name="_xlnm._FilterDatabase" localSheetId="9" hidden="1">'8 Catalog &amp; stock'!$A$3:$M$29</definedName>
    <definedName name="_xlnm.Print_Titles" localSheetId="9">'8 Catalog &amp; stock'!$3:$3</definedName>
    <definedName name="_xlnm._FilterDatabase" localSheetId="10" hidden="1">'9 Customers &amp; inbox'!$A$3:$M$16</definedName>
    <definedName name="_xlnm.Print_Titles" localSheetId="10">'9 Customers &amp; inbox'!$3:$3</definedName>
    <definedName name="_xlnm._FilterDatabase" localSheetId="11" hidden="1">'10 Marketing &amp; growth'!$A$3:$M$18</definedName>
    <definedName name="_xlnm.Print_Titles" localSheetId="11">'10 Marketing &amp; growth'!$3:$3</definedName>
    <definedName name="_xlnm._FilterDatabase" localSheetId="12" hidden="1">'11 Money &amp; reports'!$A$3:$M$15</definedName>
    <definedName name="_xlnm.Print_Titles" localSheetId="12">'11 Money &amp; reports'!$3:$3</definedName>
    <definedName name="_xlnm._FilterDatabase" localSheetId="13" hidden="1">'12 Store design'!$A$3:$M$14</definedName>
    <definedName name="_xlnm.Print_Titles" localSheetId="13">'12 Store design'!$3:$3</definedName>
    <definedName name="_xlnm._FilterDatabase" localSheetId="14" hidden="1">'13 Settings &amp; team'!$A$3:$M$18</definedName>
    <definedName name="_xlnm.Print_Titles" localSheetId="14">'13 Settings &amp; team'!$3:$3</definedName>
    <definedName name="_xlnm._FilterDatabase" localSheetId="15" hidden="1">'14 Platform admin'!$A$3:$M$23</definedName>
    <definedName name="_xlnm.Print_Titles" localSheetId="15">'14 Platform admin'!$3:$3</definedName>
    <definedName name="_xlnm._FilterDatabase" localSheetId="16" hidden="1">'15 Roles matrix'!$A$3:$M$43</definedName>
    <definedName name="_xlnm.Print_Titles" localSheetId="16">'15 Roles matrix'!$3:$3</definedName>
    <definedName name="_xlnm._FilterDatabase" localSheetId="17" hidden="1">'16 Security &amp; privacy'!$A$3:$M$24</definedName>
    <definedName name="_xlnm.Print_Titles" localSheetId="17">'16 Security &amp; privacy'!$3:$3</definedName>
    <definedName name="_xlnm._FilterDatabase" localSheetId="18" hidden="1">'17 Quality'!$A$3:$M$23</definedName>
    <definedName name="_xlnm.Print_Titles" localSheetId="18">'17 Quality'!$3:$3</definedName>
    <definedName name="_xlnm._FilterDatabase" localSheetId="19" hidden="1">'18 Integrations'!$A$3:$M$19</definedName>
    <definedName name="_xlnm.Print_Titles" localSheetId="19">'18 Integrations'!$3:$3</definedName>
    <definedName name="_xlnm._FilterDatabase" localSheetId="20" hidden="1">'19 Smoke (30 min)'!$A$3:$M$20</definedName>
    <definedName name="_xlnm.Print_Titles" localSheetId="20">'19 Smoke (30 min)'!$3:$3</definedName>
    <definedName name="_xlnm._FilterDatabase" localSheetId="21" hidden="1">'20 Release &amp; sign-off'!$A$3:$M$14</definedName>
    <definedName name="_xlnm.Print_Titles" localSheetId="21">'20 Release &amp; sign-off'!$3:$3</definedName>
    <definedName name="_xlnm._FilterDatabase" localSheetId="22" hidden="1">'21 Defect log'!$A$3:$Q$203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1A4E"/>
      <sz val="14"/>
    </font>
    <font>
      <name val="Arial"/>
      <i val="1"/>
      <color rgb="006B6B8D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A1A4E"/>
      <sz val="16"/>
    </font>
    <font>
      <name val="Arial"/>
      <b val="1"/>
      <sz val="11"/>
    </font>
    <font>
      <name val="Arial"/>
      <b val="1"/>
      <color rgb="001A1A4E"/>
      <sz val="18"/>
    </font>
    <font>
      <name val="Arial"/>
      <i val="1"/>
      <color rgb="006B6B8D"/>
      <sz val="10"/>
    </font>
    <font>
      <name val="Arial"/>
      <b val="1"/>
      <color rgb="001A1A4E"/>
      <sz val="12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4E"/>
      </patternFill>
    </fill>
    <fill>
      <patternFill patternType="solid">
        <fgColor rgb="00FFFBE6"/>
      </patternFill>
    </fill>
    <fill>
      <patternFill patternType="solid">
        <fgColor rgb="00F4F3FF"/>
      </patternFill>
    </fill>
  </fills>
  <borders count="2">
    <border>
      <left/>
      <right/>
      <top/>
      <bottom/>
      <diagonal/>
    </border>
    <border>
      <left style="thin">
        <color rgb="00D5D5E4"/>
      </left>
      <right style="thin">
        <color rgb="00D5D5E4"/>
      </right>
      <top style="thin">
        <color rgb="00D5D5E4"/>
      </top>
      <bottom style="thin">
        <color rgb="00D5D5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Arial"/>
        <b val="1"/>
        <color rgb="009C0006"/>
      </font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  <dxf>
      <font>
        <name val="Arial"/>
        <b val="1"/>
        <color rgb="00006100"/>
      </font>
      <fill>
        <patternFill patternType="solid">
          <bgColor rgb="00C6EFCE"/>
        </patternFill>
      </fill>
    </dxf>
    <dxf>
      <font>
        <name val="Arial"/>
        <b val="1"/>
        <color rgb="009C5700"/>
      </font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C6EFCE"/>
        </patternFill>
      </fill>
    </dxf>
    <dxf>
      <font>
        <name val="Arial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4E"/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BizTrackBD: manual QC / QA checklist</t>
        </is>
      </c>
    </row>
    <row r="2">
      <c r="A2" s="2" t="inlineStr">
        <is>
          <t>Covers the marketing site, the customer store, the store admin and the platform (super) admin, end to end.</t>
        </is>
      </c>
    </row>
    <row r="4">
      <c r="A4" s="3" t="inlineStr">
        <is>
          <t>How to use</t>
        </is>
      </c>
    </row>
    <row r="5">
      <c r="A5" s="4" t="inlineStr">
        <is>
          <t>1</t>
        </is>
      </c>
      <c r="B5" s="5" t="inlineStr">
        <is>
          <t>Do the Setup sheet first. Nothing else is meaningful until the environment, migrations, accounts and test data are right.</t>
        </is>
      </c>
    </row>
    <row r="6">
      <c r="A6" s="4" t="inlineStr">
        <is>
          <t>2</t>
        </is>
      </c>
      <c r="B6" s="5" t="inlineStr">
        <is>
          <t>Go sheet by sheet (numbers 2 to 20). In each row, follow Steps and compare with Expected result.</t>
        </is>
      </c>
    </row>
    <row r="7">
      <c r="A7" s="4" t="inlineStr">
        <is>
          <t>3</t>
        </is>
      </c>
      <c r="B7" s="5" t="inlineStr">
        <is>
          <t>Mark 'Phone 390px' and 'Desktop 1440px' with Pass, Fail, Blocked or N/A (drop-down). The Result column fills itself.</t>
        </is>
      </c>
    </row>
    <row r="8">
      <c r="A8" s="4" t="inlineStr">
        <is>
          <t>4</t>
        </is>
      </c>
      <c r="B8" s="5" t="inlineStr">
        <is>
          <t>On any Fail: write the bug id in 'Bug ref / notes' and add a row on the Defect log sheet (screenshot, steps, actual result).</t>
        </is>
      </c>
    </row>
    <row r="9">
      <c r="A9" s="4" t="inlineStr">
        <is>
          <t>5</t>
        </is>
      </c>
      <c r="B9" s="5" t="inlineStr">
        <is>
          <t>Retest after each fix, then mark the check again. Keep the Tester and Date columns filled for the audit trail.</t>
        </is>
      </c>
    </row>
    <row r="10">
      <c r="A10" s="4" t="inlineStr">
        <is>
          <t>6</t>
        </is>
      </c>
      <c r="B10" s="5" t="inlineStr">
        <is>
          <t>The Summary sheet counts everything and gives a release recommendation. After every release run the 'Smoke (30 min)' sheet.</t>
        </is>
      </c>
    </row>
    <row r="12">
      <c r="A12" s="3" t="inlineStr">
        <is>
          <t>Result words</t>
        </is>
      </c>
    </row>
    <row r="13">
      <c r="A13" s="4" t="inlineStr">
        <is>
          <t>Pass</t>
        </is>
      </c>
      <c r="B13" s="5" t="inlineStr">
        <is>
          <t>Works exactly as Expected on that device.</t>
        </is>
      </c>
    </row>
    <row r="14">
      <c r="A14" s="4" t="inlineStr">
        <is>
          <t>Fail</t>
        </is>
      </c>
      <c r="B14" s="5" t="inlineStr">
        <is>
          <t>Does not match Expected, or errors. Always log a defect.</t>
        </is>
      </c>
    </row>
    <row r="15">
      <c r="A15" s="4" t="inlineStr">
        <is>
          <t>Blocked</t>
        </is>
      </c>
      <c r="B15" s="5" t="inlineStr">
        <is>
          <t>Cannot test (missing data, environment down, earlier bug). Say why in notes.</t>
        </is>
      </c>
    </row>
    <row r="16">
      <c r="A16" s="4" t="inlineStr">
        <is>
          <t>N/A</t>
        </is>
      </c>
      <c r="B16" s="5" t="inlineStr">
        <is>
          <t>Does not apply on that device or for this store setup.</t>
        </is>
      </c>
    </row>
    <row r="17">
      <c r="A17" s="4" t="inlineStr">
        <is>
          <t>In progress</t>
        </is>
      </c>
      <c r="B17" s="5" t="inlineStr">
        <is>
          <t>One device done, the other not yet.</t>
        </is>
      </c>
    </row>
    <row r="18">
      <c r="A18" s="4" t="inlineStr">
        <is>
          <t>Not run</t>
        </is>
      </c>
      <c r="B18" s="5" t="inlineStr">
        <is>
          <t>Nothing marked yet.</t>
        </is>
      </c>
    </row>
    <row r="20">
      <c r="A20" s="3" t="inlineStr">
        <is>
          <t>Priority</t>
        </is>
      </c>
    </row>
    <row r="21">
      <c r="A21" s="4" t="inlineStr">
        <is>
          <t>P1</t>
        </is>
      </c>
      <c r="B21" s="5" t="inlineStr">
        <is>
          <t>Release blocker. Money, orders, stock, sign-in, security, data isolation, anything that returns an error page.</t>
        </is>
      </c>
    </row>
    <row r="22">
      <c r="A22" s="4" t="inlineStr">
        <is>
          <t>P2</t>
        </is>
      </c>
      <c r="B22" s="5" t="inlineStr">
        <is>
          <t>Should work. Fix before or soon after release.</t>
        </is>
      </c>
    </row>
    <row r="23">
      <c r="A23" s="4" t="inlineStr">
        <is>
          <t>P3</t>
        </is>
      </c>
      <c r="B23" s="5" t="inlineStr">
        <is>
          <t>Polish.</t>
        </is>
      </c>
    </row>
    <row r="25">
      <c r="A25" s="3" t="inlineStr">
        <is>
          <t>Defect severity</t>
        </is>
      </c>
    </row>
    <row r="26">
      <c r="A26" s="4" t="inlineStr">
        <is>
          <t>Blocker</t>
        </is>
      </c>
      <c r="B26" s="5" t="inlineStr">
        <is>
          <t>Cannot release: data loss, wrong money, security hole, cross-store data, page that errors.</t>
        </is>
      </c>
    </row>
    <row r="27">
      <c r="A27" s="4" t="inlineStr">
        <is>
          <t>Major</t>
        </is>
      </c>
      <c r="B27" s="5" t="inlineStr">
        <is>
          <t>Feature broken and no workaround.</t>
        </is>
      </c>
    </row>
    <row r="28">
      <c r="A28" s="4" t="inlineStr">
        <is>
          <t>Minor</t>
        </is>
      </c>
      <c r="B28" s="5" t="inlineStr">
        <is>
          <t>Workaround exists.</t>
        </is>
      </c>
    </row>
    <row r="29">
      <c r="A29" s="4" t="inlineStr">
        <is>
          <t>Cosmetic</t>
        </is>
      </c>
      <c r="B29" s="5" t="inlineStr">
        <is>
          <t>Looks wrong, works fine.</t>
        </is>
      </c>
    </row>
    <row r="31">
      <c r="A31" s="3" t="inlineStr">
        <is>
          <t>Environment (fill in)</t>
        </is>
      </c>
    </row>
    <row r="32">
      <c r="A32" s="4" t="inlineStr">
        <is>
          <t>Build / commit under test</t>
        </is>
      </c>
      <c r="B32" s="6" t="n"/>
    </row>
    <row r="33">
      <c r="A33" s="4" t="inlineStr">
        <is>
          <t>Marketing URL</t>
        </is>
      </c>
      <c r="B33" s="6" t="n"/>
    </row>
    <row r="34">
      <c r="A34" s="4" t="inlineStr">
        <is>
          <t>Store URL</t>
        </is>
      </c>
      <c r="B34" s="6" t="n"/>
    </row>
    <row r="35">
      <c r="A35" s="4" t="inlineStr">
        <is>
          <t>Admin URL</t>
        </is>
      </c>
      <c r="B35" s="6" t="n"/>
    </row>
    <row r="36">
      <c r="A36" s="4" t="inlineStr">
        <is>
          <t>Platform admin URL</t>
        </is>
      </c>
      <c r="B36" s="6" t="n"/>
    </row>
    <row r="37">
      <c r="A37" s="4" t="inlineStr">
        <is>
          <t>Database / environment name</t>
        </is>
      </c>
      <c r="B37" s="6" t="n"/>
    </row>
    <row r="38">
      <c r="A38" s="4" t="inlineStr">
        <is>
          <t>Test date range</t>
        </is>
      </c>
      <c r="B38" s="6" t="n"/>
    </row>
    <row r="39">
      <c r="A39" s="4" t="inlineStr">
        <is>
          <t>Test store name</t>
        </is>
      </c>
      <c r="B39" s="6" t="n"/>
    </row>
    <row r="40">
      <c r="A40" s="4" t="inlineStr">
        <is>
          <t>Accounts used (emails only, no passwords)</t>
        </is>
      </c>
      <c r="B40" s="6" t="n"/>
    </row>
    <row r="41">
      <c r="A41" s="4" t="inlineStr">
        <is>
          <t>Devices and browsers</t>
        </is>
      </c>
      <c r="B41" s="6" t="n"/>
    </row>
    <row r="43">
      <c r="A43" s="3" t="inlineStr">
        <is>
          <t>Rules of thumb</t>
        </is>
      </c>
    </row>
    <row r="44">
      <c r="A44" s="4" t="inlineStr">
        <is>
          <t>Use fresh data</t>
        </is>
      </c>
      <c r="B44" s="5" t="inlineStr">
        <is>
          <t>Each tester uses their own phone numbers and TrxIDs. A number may place only 3 storefront orders a day, and a TrxID works once.</t>
        </is>
      </c>
    </row>
    <row r="45">
      <c r="A45" s="4" t="inlineStr">
        <is>
          <t>Money</t>
        </is>
      </c>
      <c r="B45" s="5" t="inlineStr">
        <is>
          <t>After every order, check the total by hand: items + delivery + COD fee - discounts. Never trust the screen alone.</t>
        </is>
      </c>
    </row>
    <row r="46">
      <c r="A46" s="4" t="inlineStr">
        <is>
          <t>Stock</t>
        </is>
      </c>
      <c r="B46" s="5" t="inlineStr">
        <is>
          <t>After every order/cancel/return, check the stock number moved the right way.</t>
        </is>
      </c>
    </row>
    <row r="47">
      <c r="A47" s="4" t="inlineStr">
        <is>
          <t>Two devices</t>
        </is>
      </c>
      <c r="B47" s="5" t="inlineStr">
        <is>
          <t>Always test the customer side and the admin side at the same time: place on the phone, handle on the desktop.</t>
        </is>
      </c>
    </row>
    <row r="48">
      <c r="A48" s="4" t="inlineStr">
        <is>
          <t>Time</t>
        </is>
      </c>
      <c r="B48" s="5" t="inlineStr">
        <is>
          <t>All times are Dhaka (UTC+6). Be careful near midnight.</t>
        </is>
      </c>
    </row>
    <row r="49">
      <c r="A49" s="4" t="inlineStr">
        <is>
          <t>Production</t>
        </is>
      </c>
      <c r="B49" s="5" t="inlineStr">
        <is>
          <t>Do not use real customers' numbers on production. Use your own numbers and small real amounts for payments.</t>
        </is>
      </c>
    </row>
    <row r="50">
      <c r="A50" s="4" t="inlineStr">
        <is>
          <t>Report everything odd</t>
        </is>
      </c>
      <c r="B50" s="5" t="inlineStr">
        <is>
          <t>A slow page, a flicker, a confusing word: write it in notes even if you mark Pass.</t>
        </is>
      </c>
    </row>
    <row r="52">
      <c r="A52" s="3" t="inlineStr">
        <is>
          <t>Role names used</t>
        </is>
      </c>
    </row>
    <row r="53">
      <c r="A53" s="4" t="inlineStr">
        <is>
          <t>Store owner / Owner</t>
        </is>
      </c>
      <c r="B53" s="5" t="inlineStr">
        <is>
          <t>Full access to the store.</t>
        </is>
      </c>
    </row>
    <row r="54">
      <c r="A54" s="4" t="inlineStr">
        <is>
          <t>Manager</t>
        </is>
      </c>
      <c r="B54" s="5" t="inlineStr">
        <is>
          <t>Everything except billing and team; reports view-only.</t>
        </is>
      </c>
    </row>
    <row r="55">
      <c r="A55" s="4" t="inlineStr">
        <is>
          <t>Order packer / Packer</t>
        </is>
      </c>
      <c r="B55" s="5" t="inlineStr">
        <is>
          <t>Orders and products; customers view-only.</t>
        </is>
      </c>
    </row>
    <row r="56">
      <c r="A56" s="4" t="inlineStr">
        <is>
          <t>Support (telemarketer)</t>
        </is>
      </c>
      <c r="B56" s="5" t="inlineStr">
        <is>
          <t>Customers edit; orders and products view-only.</t>
        </is>
      </c>
    </row>
    <row r="57">
      <c r="A57" s="4" t="inlineStr">
        <is>
          <t>Content editor</t>
        </is>
      </c>
      <c r="B57" s="5" t="inlineStr">
        <is>
          <t>Products and design only.</t>
        </is>
      </c>
    </row>
    <row r="58">
      <c r="A58" s="4" t="inlineStr">
        <is>
          <t>Platform owner / Finance / Support lead / Support</t>
        </is>
      </c>
      <c r="B58" s="5" t="inlineStr">
        <is>
          <t>Super-admin team roles on the platform admin.</t>
        </is>
      </c>
    </row>
    <row r="60">
      <c r="A60" s="3" t="inlineStr">
        <is>
          <t>Sign-off</t>
        </is>
      </c>
    </row>
    <row r="61">
      <c r="A61" s="7" t="inlineStr">
        <is>
          <t>Role</t>
        </is>
      </c>
      <c r="B61" s="7" t="inlineStr">
        <is>
          <t>Name, date, signature</t>
        </is>
      </c>
    </row>
    <row r="62">
      <c r="A62" s="4" t="inlineStr">
        <is>
          <t>QA lead</t>
        </is>
      </c>
      <c r="B62" s="8" t="n"/>
    </row>
    <row r="63">
      <c r="A63" s="4" t="inlineStr">
        <is>
          <t>Development lead</t>
        </is>
      </c>
      <c r="B63" s="8" t="n"/>
    </row>
    <row r="64">
      <c r="A64" s="4" t="inlineStr">
        <is>
          <t>Store / business owner</t>
        </is>
      </c>
      <c r="B6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4FE8"/>
    <outlinePr summaryBelow="1" summaryRight="1"/>
    <pageSetUpPr/>
  </sheetPr>
  <dimension ref="A1:L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9" t="inlineStr">
        <is>
          <t>BizTrackBD QC / QA: summary</t>
        </is>
      </c>
    </row>
    <row r="2">
      <c r="A2" s="10" t="inlineStr">
        <is>
          <t>Counts come from the Result column of every sheet. Nothing to type here.</t>
        </is>
      </c>
    </row>
    <row r="4" ht="32" customHeight="1">
      <c r="A4" s="11" t="inlineStr">
        <is>
          <t>Sheet</t>
        </is>
      </c>
      <c r="B4" s="11" t="inlineStr">
        <is>
          <t>Checks</t>
        </is>
      </c>
      <c r="C4" s="11" t="inlineStr">
        <is>
          <t>Pass</t>
        </is>
      </c>
      <c r="D4" s="11" t="inlineStr">
        <is>
          <t>Fail</t>
        </is>
      </c>
      <c r="E4" s="11" t="inlineStr">
        <is>
          <t>Blocked</t>
        </is>
      </c>
      <c r="F4" s="11" t="inlineStr">
        <is>
          <t>In progress</t>
        </is>
      </c>
      <c r="G4" s="11" t="inlineStr">
        <is>
          <t>Not run</t>
        </is>
      </c>
      <c r="H4" s="11" t="inlineStr">
        <is>
          <t>N/A</t>
        </is>
      </c>
      <c r="I4" s="11" t="inlineStr">
        <is>
          <t>P1 checks</t>
        </is>
      </c>
      <c r="J4" s="11" t="inlineStr">
        <is>
          <t>P1 not passed</t>
        </is>
      </c>
      <c r="K4" s="11" t="inlineStr">
        <is>
          <t>% done (not 'Not run')</t>
        </is>
      </c>
      <c r="L4" s="11" t="inlineStr">
        <is>
          <t>% passed</t>
        </is>
      </c>
    </row>
    <row r="5">
      <c r="A5" s="12" t="inlineStr">
        <is>
          <t>1 Setup</t>
        </is>
      </c>
      <c r="B5" s="13">
        <f>COUNTA('1 Setup'!$A$4:$A$15)</f>
        <v/>
      </c>
      <c r="C5" s="13">
        <f>COUNTIF('1 Setup'!$J$4:$J$15,"Pass")</f>
        <v/>
      </c>
      <c r="D5" s="13">
        <f>COUNTIF('1 Setup'!$J$4:$J$15,"Fail")</f>
        <v/>
      </c>
      <c r="E5" s="13">
        <f>COUNTIF('1 Setup'!$J$4:$J$15,"Blocked")</f>
        <v/>
      </c>
      <c r="F5" s="13">
        <f>COUNTIF('1 Setup'!$J$4:$J$15,"In progress")</f>
        <v/>
      </c>
      <c r="G5" s="13">
        <f>COUNTIF('1 Setup'!$J$4:$J$15,"Not run")</f>
        <v/>
      </c>
      <c r="H5" s="13">
        <f>COUNTIF('1 Setup'!$J$4:$J$15,"N/A")</f>
        <v/>
      </c>
      <c r="I5" s="13">
        <f>COUNTIF('1 Setup'!$B$4:$B$15,"P1")</f>
        <v/>
      </c>
      <c r="J5" s="13">
        <f>COUNTIFS('1 Setup'!$B$4:$B$15,"P1",'1 Setup'!$J$4:$J$15,"&lt;&gt;Pass",'1 Setup'!$J$4:$J$15,"&lt;&gt;N/A")</f>
        <v/>
      </c>
      <c r="K5" s="14">
        <f>IF(B5-H5=0,0,1-G5/(B5-H5))</f>
        <v/>
      </c>
      <c r="L5" s="14">
        <f>IF(B5-H5=0,0,C5/(B5-H5))</f>
        <v/>
      </c>
    </row>
    <row r="6">
      <c r="A6" s="12" t="inlineStr">
        <is>
          <t>2 Marketing site</t>
        </is>
      </c>
      <c r="B6" s="13">
        <f>COUNTA('2 Marketing site'!$A$4:$A$32)</f>
        <v/>
      </c>
      <c r="C6" s="13">
        <f>COUNTIF('2 Marketing site'!$J$4:$J$32,"Pass")</f>
        <v/>
      </c>
      <c r="D6" s="13">
        <f>COUNTIF('2 Marketing site'!$J$4:$J$32,"Fail")</f>
        <v/>
      </c>
      <c r="E6" s="13">
        <f>COUNTIF('2 Marketing site'!$J$4:$J$32,"Blocked")</f>
        <v/>
      </c>
      <c r="F6" s="13">
        <f>COUNTIF('2 Marketing site'!$J$4:$J$32,"In progress")</f>
        <v/>
      </c>
      <c r="G6" s="13">
        <f>COUNTIF('2 Marketing site'!$J$4:$J$32,"Not run")</f>
        <v/>
      </c>
      <c r="H6" s="13">
        <f>COUNTIF('2 Marketing site'!$J$4:$J$32,"N/A")</f>
        <v/>
      </c>
      <c r="I6" s="13">
        <f>COUNTIF('2 Marketing site'!$B$4:$B$32,"P1")</f>
        <v/>
      </c>
      <c r="J6" s="13">
        <f>COUNTIFS('2 Marketing site'!$B$4:$B$32,"P1",'2 Marketing site'!$J$4:$J$32,"&lt;&gt;Pass",'2 Marketing site'!$J$4:$J$32,"&lt;&gt;N/A")</f>
        <v/>
      </c>
      <c r="K6" s="14">
        <f>IF(B6-H6=0,0,1-G6/(B6-H6))</f>
        <v/>
      </c>
      <c r="L6" s="14">
        <f>IF(B6-H6=0,0,C6/(B6-H6))</f>
        <v/>
      </c>
    </row>
    <row r="7">
      <c r="A7" s="12" t="inlineStr">
        <is>
          <t>3 Store browse</t>
        </is>
      </c>
      <c r="B7" s="13">
        <f>COUNTA('3 Store browse'!$A$4:$A$35)</f>
        <v/>
      </c>
      <c r="C7" s="13">
        <f>COUNTIF('3 Store browse'!$J$4:$J$35,"Pass")</f>
        <v/>
      </c>
      <c r="D7" s="13">
        <f>COUNTIF('3 Store browse'!$J$4:$J$35,"Fail")</f>
        <v/>
      </c>
      <c r="E7" s="13">
        <f>COUNTIF('3 Store browse'!$J$4:$J$35,"Blocked")</f>
        <v/>
      </c>
      <c r="F7" s="13">
        <f>COUNTIF('3 Store browse'!$J$4:$J$35,"In progress")</f>
        <v/>
      </c>
      <c r="G7" s="13">
        <f>COUNTIF('3 Store browse'!$J$4:$J$35,"Not run")</f>
        <v/>
      </c>
      <c r="H7" s="13">
        <f>COUNTIF('3 Store browse'!$J$4:$J$35,"N/A")</f>
        <v/>
      </c>
      <c r="I7" s="13">
        <f>COUNTIF('3 Store browse'!$B$4:$B$35,"P1")</f>
        <v/>
      </c>
      <c r="J7" s="13">
        <f>COUNTIFS('3 Store browse'!$B$4:$B$35,"P1",'3 Store browse'!$J$4:$J$35,"&lt;&gt;Pass",'3 Store browse'!$J$4:$J$35,"&lt;&gt;N/A")</f>
        <v/>
      </c>
      <c r="K7" s="14">
        <f>IF(B7-H7=0,0,1-G7/(B7-H7))</f>
        <v/>
      </c>
      <c r="L7" s="14">
        <f>IF(B7-H7=0,0,C7/(B7-H7))</f>
        <v/>
      </c>
    </row>
    <row r="8">
      <c r="A8" s="12" t="inlineStr">
        <is>
          <t>4 Cart &amp; checkout</t>
        </is>
      </c>
      <c r="B8" s="13">
        <f>COUNTA('4 Cart &amp; checkout'!$A$4:$A$39)</f>
        <v/>
      </c>
      <c r="C8" s="13">
        <f>COUNTIF('4 Cart &amp; checkout'!$J$4:$J$39,"Pass")</f>
        <v/>
      </c>
      <c r="D8" s="13">
        <f>COUNTIF('4 Cart &amp; checkout'!$J$4:$J$39,"Fail")</f>
        <v/>
      </c>
      <c r="E8" s="13">
        <f>COUNTIF('4 Cart &amp; checkout'!$J$4:$J$39,"Blocked")</f>
        <v/>
      </c>
      <c r="F8" s="13">
        <f>COUNTIF('4 Cart &amp; checkout'!$J$4:$J$39,"In progress")</f>
        <v/>
      </c>
      <c r="G8" s="13">
        <f>COUNTIF('4 Cart &amp; checkout'!$J$4:$J$39,"Not run")</f>
        <v/>
      </c>
      <c r="H8" s="13">
        <f>COUNTIF('4 Cart &amp; checkout'!$J$4:$J$39,"N/A")</f>
        <v/>
      </c>
      <c r="I8" s="13">
        <f>COUNTIF('4 Cart &amp; checkout'!$B$4:$B$39,"P1")</f>
        <v/>
      </c>
      <c r="J8" s="13">
        <f>COUNTIFS('4 Cart &amp; checkout'!$B$4:$B$39,"P1",'4 Cart &amp; checkout'!$J$4:$J$39,"&lt;&gt;Pass",'4 Cart &amp; checkout'!$J$4:$J$39,"&lt;&gt;N/A")</f>
        <v/>
      </c>
      <c r="K8" s="14">
        <f>IF(B8-H8=0,0,1-G8/(B8-H8))</f>
        <v/>
      </c>
      <c r="L8" s="14">
        <f>IF(B8-H8=0,0,C8/(B8-H8))</f>
        <v/>
      </c>
    </row>
    <row r="9">
      <c r="A9" s="12" t="inlineStr">
        <is>
          <t>5 Customer account</t>
        </is>
      </c>
      <c r="B9" s="13">
        <f>COUNTA('5 Customer account'!$A$4:$A$21)</f>
        <v/>
      </c>
      <c r="C9" s="13">
        <f>COUNTIF('5 Customer account'!$J$4:$J$21,"Pass")</f>
        <v/>
      </c>
      <c r="D9" s="13">
        <f>COUNTIF('5 Customer account'!$J$4:$J$21,"Fail")</f>
        <v/>
      </c>
      <c r="E9" s="13">
        <f>COUNTIF('5 Customer account'!$J$4:$J$21,"Blocked")</f>
        <v/>
      </c>
      <c r="F9" s="13">
        <f>COUNTIF('5 Customer account'!$J$4:$J$21,"In progress")</f>
        <v/>
      </c>
      <c r="G9" s="13">
        <f>COUNTIF('5 Customer account'!$J$4:$J$21,"Not run")</f>
        <v/>
      </c>
      <c r="H9" s="13">
        <f>COUNTIF('5 Customer account'!$J$4:$J$21,"N/A")</f>
        <v/>
      </c>
      <c r="I9" s="13">
        <f>COUNTIF('5 Customer account'!$B$4:$B$21,"P1")</f>
        <v/>
      </c>
      <c r="J9" s="13">
        <f>COUNTIFS('5 Customer account'!$B$4:$B$21,"P1",'5 Customer account'!$J$4:$J$21,"&lt;&gt;Pass",'5 Customer account'!$J$4:$J$21,"&lt;&gt;N/A")</f>
        <v/>
      </c>
      <c r="K9" s="14">
        <f>IF(B9-H9=0,0,1-G9/(B9-H9))</f>
        <v/>
      </c>
      <c r="L9" s="14">
        <f>IF(B9-H9=0,0,C9/(B9-H9))</f>
        <v/>
      </c>
    </row>
    <row r="10">
      <c r="A10" s="12" t="inlineStr">
        <is>
          <t>6 Admin access</t>
        </is>
      </c>
      <c r="B10" s="13">
        <f>COUNTA('6 Admin access'!$A$4:$A$22)</f>
        <v/>
      </c>
      <c r="C10" s="13">
        <f>COUNTIF('6 Admin access'!$J$4:$J$22,"Pass")</f>
        <v/>
      </c>
      <c r="D10" s="13">
        <f>COUNTIF('6 Admin access'!$J$4:$J$22,"Fail")</f>
        <v/>
      </c>
      <c r="E10" s="13">
        <f>COUNTIF('6 Admin access'!$J$4:$J$22,"Blocked")</f>
        <v/>
      </c>
      <c r="F10" s="13">
        <f>COUNTIF('6 Admin access'!$J$4:$J$22,"In progress")</f>
        <v/>
      </c>
      <c r="G10" s="13">
        <f>COUNTIF('6 Admin access'!$J$4:$J$22,"Not run")</f>
        <v/>
      </c>
      <c r="H10" s="13">
        <f>COUNTIF('6 Admin access'!$J$4:$J$22,"N/A")</f>
        <v/>
      </c>
      <c r="I10" s="13">
        <f>COUNTIF('6 Admin access'!$B$4:$B$22,"P1")</f>
        <v/>
      </c>
      <c r="J10" s="13">
        <f>COUNTIFS('6 Admin access'!$B$4:$B$22,"P1",'6 Admin access'!$J$4:$J$22,"&lt;&gt;Pass",'6 Admin access'!$J$4:$J$22,"&lt;&gt;N/A")</f>
        <v/>
      </c>
      <c r="K10" s="14">
        <f>IF(B10-H10=0,0,1-G10/(B10-H10))</f>
        <v/>
      </c>
      <c r="L10" s="14">
        <f>IF(B10-H10=0,0,C10/(B10-H10))</f>
        <v/>
      </c>
    </row>
    <row r="11">
      <c r="A11" s="12" t="inlineStr">
        <is>
          <t>7 Admin orders</t>
        </is>
      </c>
      <c r="B11" s="13">
        <f>COUNTA('7 Admin orders'!$A$4:$A$55)</f>
        <v/>
      </c>
      <c r="C11" s="13">
        <f>COUNTIF('7 Admin orders'!$J$4:$J$55,"Pass")</f>
        <v/>
      </c>
      <c r="D11" s="13">
        <f>COUNTIF('7 Admin orders'!$J$4:$J$55,"Fail")</f>
        <v/>
      </c>
      <c r="E11" s="13">
        <f>COUNTIF('7 Admin orders'!$J$4:$J$55,"Blocked")</f>
        <v/>
      </c>
      <c r="F11" s="13">
        <f>COUNTIF('7 Admin orders'!$J$4:$J$55,"In progress")</f>
        <v/>
      </c>
      <c r="G11" s="13">
        <f>COUNTIF('7 Admin orders'!$J$4:$J$55,"Not run")</f>
        <v/>
      </c>
      <c r="H11" s="13">
        <f>COUNTIF('7 Admin orders'!$J$4:$J$55,"N/A")</f>
        <v/>
      </c>
      <c r="I11" s="13">
        <f>COUNTIF('7 Admin orders'!$B$4:$B$55,"P1")</f>
        <v/>
      </c>
      <c r="J11" s="13">
        <f>COUNTIFS('7 Admin orders'!$B$4:$B$55,"P1",'7 Admin orders'!$J$4:$J$55,"&lt;&gt;Pass",'7 Admin orders'!$J$4:$J$55,"&lt;&gt;N/A")</f>
        <v/>
      </c>
      <c r="K11" s="14">
        <f>IF(B11-H11=0,0,1-G11/(B11-H11))</f>
        <v/>
      </c>
      <c r="L11" s="14">
        <f>IF(B11-H11=0,0,C11/(B11-H11))</f>
        <v/>
      </c>
    </row>
    <row r="12">
      <c r="A12" s="12" t="inlineStr">
        <is>
          <t>8 Catalog &amp; stock</t>
        </is>
      </c>
      <c r="B12" s="13">
        <f>COUNTA('8 Catalog &amp; stock'!$A$4:$A$29)</f>
        <v/>
      </c>
      <c r="C12" s="13">
        <f>COUNTIF('8 Catalog &amp; stock'!$J$4:$J$29,"Pass")</f>
        <v/>
      </c>
      <c r="D12" s="13">
        <f>COUNTIF('8 Catalog &amp; stock'!$J$4:$J$29,"Fail")</f>
        <v/>
      </c>
      <c r="E12" s="13">
        <f>COUNTIF('8 Catalog &amp; stock'!$J$4:$J$29,"Blocked")</f>
        <v/>
      </c>
      <c r="F12" s="13">
        <f>COUNTIF('8 Catalog &amp; stock'!$J$4:$J$29,"In progress")</f>
        <v/>
      </c>
      <c r="G12" s="13">
        <f>COUNTIF('8 Catalog &amp; stock'!$J$4:$J$29,"Not run")</f>
        <v/>
      </c>
      <c r="H12" s="13">
        <f>COUNTIF('8 Catalog &amp; stock'!$J$4:$J$29,"N/A")</f>
        <v/>
      </c>
      <c r="I12" s="13">
        <f>COUNTIF('8 Catalog &amp; stock'!$B$4:$B$29,"P1")</f>
        <v/>
      </c>
      <c r="J12" s="13">
        <f>COUNTIFS('8 Catalog &amp; stock'!$B$4:$B$29,"P1",'8 Catalog &amp; stock'!$J$4:$J$29,"&lt;&gt;Pass",'8 Catalog &amp; stock'!$J$4:$J$29,"&lt;&gt;N/A")</f>
        <v/>
      </c>
      <c r="K12" s="14">
        <f>IF(B12-H12=0,0,1-G12/(B12-H12))</f>
        <v/>
      </c>
      <c r="L12" s="14">
        <f>IF(B12-H12=0,0,C12/(B12-H12))</f>
        <v/>
      </c>
    </row>
    <row r="13">
      <c r="A13" s="12" t="inlineStr">
        <is>
          <t>9 Customers &amp; inbox</t>
        </is>
      </c>
      <c r="B13" s="13">
        <f>COUNTA('9 Customers &amp; inbox'!$A$4:$A$16)</f>
        <v/>
      </c>
      <c r="C13" s="13">
        <f>COUNTIF('9 Customers &amp; inbox'!$J$4:$J$16,"Pass")</f>
        <v/>
      </c>
      <c r="D13" s="13">
        <f>COUNTIF('9 Customers &amp; inbox'!$J$4:$J$16,"Fail")</f>
        <v/>
      </c>
      <c r="E13" s="13">
        <f>COUNTIF('9 Customers &amp; inbox'!$J$4:$J$16,"Blocked")</f>
        <v/>
      </c>
      <c r="F13" s="13">
        <f>COUNTIF('9 Customers &amp; inbox'!$J$4:$J$16,"In progress")</f>
        <v/>
      </c>
      <c r="G13" s="13">
        <f>COUNTIF('9 Customers &amp; inbox'!$J$4:$J$16,"Not run")</f>
        <v/>
      </c>
      <c r="H13" s="13">
        <f>COUNTIF('9 Customers &amp; inbox'!$J$4:$J$16,"N/A")</f>
        <v/>
      </c>
      <c r="I13" s="13">
        <f>COUNTIF('9 Customers &amp; inbox'!$B$4:$B$16,"P1")</f>
        <v/>
      </c>
      <c r="J13" s="13">
        <f>COUNTIFS('9 Customers &amp; inbox'!$B$4:$B$16,"P1",'9 Customers &amp; inbox'!$J$4:$J$16,"&lt;&gt;Pass",'9 Customers &amp; inbox'!$J$4:$J$16,"&lt;&gt;N/A")</f>
        <v/>
      </c>
      <c r="K13" s="14">
        <f>IF(B13-H13=0,0,1-G13/(B13-H13))</f>
        <v/>
      </c>
      <c r="L13" s="14">
        <f>IF(B13-H13=0,0,C13/(B13-H13))</f>
        <v/>
      </c>
    </row>
    <row r="14">
      <c r="A14" s="12" t="inlineStr">
        <is>
          <t>10 Marketing &amp; growth</t>
        </is>
      </c>
      <c r="B14" s="13">
        <f>COUNTA('10 Marketing &amp; growth'!$A$4:$A$18)</f>
        <v/>
      </c>
      <c r="C14" s="13">
        <f>COUNTIF('10 Marketing &amp; growth'!$J$4:$J$18,"Pass")</f>
        <v/>
      </c>
      <c r="D14" s="13">
        <f>COUNTIF('10 Marketing &amp; growth'!$J$4:$J$18,"Fail")</f>
        <v/>
      </c>
      <c r="E14" s="13">
        <f>COUNTIF('10 Marketing &amp; growth'!$J$4:$J$18,"Blocked")</f>
        <v/>
      </c>
      <c r="F14" s="13">
        <f>COUNTIF('10 Marketing &amp; growth'!$J$4:$J$18,"In progress")</f>
        <v/>
      </c>
      <c r="G14" s="13">
        <f>COUNTIF('10 Marketing &amp; growth'!$J$4:$J$18,"Not run")</f>
        <v/>
      </c>
      <c r="H14" s="13">
        <f>COUNTIF('10 Marketing &amp; growth'!$J$4:$J$18,"N/A")</f>
        <v/>
      </c>
      <c r="I14" s="13">
        <f>COUNTIF('10 Marketing &amp; growth'!$B$4:$B$18,"P1")</f>
        <v/>
      </c>
      <c r="J14" s="13">
        <f>COUNTIFS('10 Marketing &amp; growth'!$B$4:$B$18,"P1",'10 Marketing &amp; growth'!$J$4:$J$18,"&lt;&gt;Pass",'10 Marketing &amp; growth'!$J$4:$J$18,"&lt;&gt;N/A")</f>
        <v/>
      </c>
      <c r="K14" s="14">
        <f>IF(B14-H14=0,0,1-G14/(B14-H14))</f>
        <v/>
      </c>
      <c r="L14" s="14">
        <f>IF(B14-H14=0,0,C14/(B14-H14))</f>
        <v/>
      </c>
    </row>
    <row r="15">
      <c r="A15" s="12" t="inlineStr">
        <is>
          <t>11 Money &amp; reports</t>
        </is>
      </c>
      <c r="B15" s="13">
        <f>COUNTA('11 Money &amp; reports'!$A$4:$A$15)</f>
        <v/>
      </c>
      <c r="C15" s="13">
        <f>COUNTIF('11 Money &amp; reports'!$J$4:$J$15,"Pass")</f>
        <v/>
      </c>
      <c r="D15" s="13">
        <f>COUNTIF('11 Money &amp; reports'!$J$4:$J$15,"Fail")</f>
        <v/>
      </c>
      <c r="E15" s="13">
        <f>COUNTIF('11 Money &amp; reports'!$J$4:$J$15,"Blocked")</f>
        <v/>
      </c>
      <c r="F15" s="13">
        <f>COUNTIF('11 Money &amp; reports'!$J$4:$J$15,"In progress")</f>
        <v/>
      </c>
      <c r="G15" s="13">
        <f>COUNTIF('11 Money &amp; reports'!$J$4:$J$15,"Not run")</f>
        <v/>
      </c>
      <c r="H15" s="13">
        <f>COUNTIF('11 Money &amp; reports'!$J$4:$J$15,"N/A")</f>
        <v/>
      </c>
      <c r="I15" s="13">
        <f>COUNTIF('11 Money &amp; reports'!$B$4:$B$15,"P1")</f>
        <v/>
      </c>
      <c r="J15" s="13">
        <f>COUNTIFS('11 Money &amp; reports'!$B$4:$B$15,"P1",'11 Money &amp; reports'!$J$4:$J$15,"&lt;&gt;Pass",'11 Money &amp; reports'!$J$4:$J$15,"&lt;&gt;N/A")</f>
        <v/>
      </c>
      <c r="K15" s="14">
        <f>IF(B15-H15=0,0,1-G15/(B15-H15))</f>
        <v/>
      </c>
      <c r="L15" s="14">
        <f>IF(B15-H15=0,0,C15/(B15-H15))</f>
        <v/>
      </c>
    </row>
    <row r="16">
      <c r="A16" s="12" t="inlineStr">
        <is>
          <t>12 Store design</t>
        </is>
      </c>
      <c r="B16" s="13">
        <f>COUNTA('12 Store design'!$A$4:$A$14)</f>
        <v/>
      </c>
      <c r="C16" s="13">
        <f>COUNTIF('12 Store design'!$J$4:$J$14,"Pass")</f>
        <v/>
      </c>
      <c r="D16" s="13">
        <f>COUNTIF('12 Store design'!$J$4:$J$14,"Fail")</f>
        <v/>
      </c>
      <c r="E16" s="13">
        <f>COUNTIF('12 Store design'!$J$4:$J$14,"Blocked")</f>
        <v/>
      </c>
      <c r="F16" s="13">
        <f>COUNTIF('12 Store design'!$J$4:$J$14,"In progress")</f>
        <v/>
      </c>
      <c r="G16" s="13">
        <f>COUNTIF('12 Store design'!$J$4:$J$14,"Not run")</f>
        <v/>
      </c>
      <c r="H16" s="13">
        <f>COUNTIF('12 Store design'!$J$4:$J$14,"N/A")</f>
        <v/>
      </c>
      <c r="I16" s="13">
        <f>COUNTIF('12 Store design'!$B$4:$B$14,"P1")</f>
        <v/>
      </c>
      <c r="J16" s="13">
        <f>COUNTIFS('12 Store design'!$B$4:$B$14,"P1",'12 Store design'!$J$4:$J$14,"&lt;&gt;Pass",'12 Store design'!$J$4:$J$14,"&lt;&gt;N/A")</f>
        <v/>
      </c>
      <c r="K16" s="14">
        <f>IF(B16-H16=0,0,1-G16/(B16-H16))</f>
        <v/>
      </c>
      <c r="L16" s="14">
        <f>IF(B16-H16=0,0,C16/(B16-H16))</f>
        <v/>
      </c>
    </row>
    <row r="17">
      <c r="A17" s="12" t="inlineStr">
        <is>
          <t>13 Settings &amp; team</t>
        </is>
      </c>
      <c r="B17" s="13">
        <f>COUNTA('13 Settings &amp; team'!$A$4:$A$18)</f>
        <v/>
      </c>
      <c r="C17" s="13">
        <f>COUNTIF('13 Settings &amp; team'!$J$4:$J$18,"Pass")</f>
        <v/>
      </c>
      <c r="D17" s="13">
        <f>COUNTIF('13 Settings &amp; team'!$J$4:$J$18,"Fail")</f>
        <v/>
      </c>
      <c r="E17" s="13">
        <f>COUNTIF('13 Settings &amp; team'!$J$4:$J$18,"Blocked")</f>
        <v/>
      </c>
      <c r="F17" s="13">
        <f>COUNTIF('13 Settings &amp; team'!$J$4:$J$18,"In progress")</f>
        <v/>
      </c>
      <c r="G17" s="13">
        <f>COUNTIF('13 Settings &amp; team'!$J$4:$J$18,"Not run")</f>
        <v/>
      </c>
      <c r="H17" s="13">
        <f>COUNTIF('13 Settings &amp; team'!$J$4:$J$18,"N/A")</f>
        <v/>
      </c>
      <c r="I17" s="13">
        <f>COUNTIF('13 Settings &amp; team'!$B$4:$B$18,"P1")</f>
        <v/>
      </c>
      <c r="J17" s="13">
        <f>COUNTIFS('13 Settings &amp; team'!$B$4:$B$18,"P1",'13 Settings &amp; team'!$J$4:$J$18,"&lt;&gt;Pass",'13 Settings &amp; team'!$J$4:$J$18,"&lt;&gt;N/A")</f>
        <v/>
      </c>
      <c r="K17" s="14">
        <f>IF(B17-H17=0,0,1-G17/(B17-H17))</f>
        <v/>
      </c>
      <c r="L17" s="14">
        <f>IF(B17-H17=0,0,C17/(B17-H17))</f>
        <v/>
      </c>
    </row>
    <row r="18">
      <c r="A18" s="12" t="inlineStr">
        <is>
          <t>14 Platform admin</t>
        </is>
      </c>
      <c r="B18" s="13">
        <f>COUNTA('14 Platform admin'!$A$4:$A$23)</f>
        <v/>
      </c>
      <c r="C18" s="13">
        <f>COUNTIF('14 Platform admin'!$J$4:$J$23,"Pass")</f>
        <v/>
      </c>
      <c r="D18" s="13">
        <f>COUNTIF('14 Platform admin'!$J$4:$J$23,"Fail")</f>
        <v/>
      </c>
      <c r="E18" s="13">
        <f>COUNTIF('14 Platform admin'!$J$4:$J$23,"Blocked")</f>
        <v/>
      </c>
      <c r="F18" s="13">
        <f>COUNTIF('14 Platform admin'!$J$4:$J$23,"In progress")</f>
        <v/>
      </c>
      <c r="G18" s="13">
        <f>COUNTIF('14 Platform admin'!$J$4:$J$23,"Not run")</f>
        <v/>
      </c>
      <c r="H18" s="13">
        <f>COUNTIF('14 Platform admin'!$J$4:$J$23,"N/A")</f>
        <v/>
      </c>
      <c r="I18" s="13">
        <f>COUNTIF('14 Platform admin'!$B$4:$B$23,"P1")</f>
        <v/>
      </c>
      <c r="J18" s="13">
        <f>COUNTIFS('14 Platform admin'!$B$4:$B$23,"P1",'14 Platform admin'!$J$4:$J$23,"&lt;&gt;Pass",'14 Platform admin'!$J$4:$J$23,"&lt;&gt;N/A")</f>
        <v/>
      </c>
      <c r="K18" s="14">
        <f>IF(B18-H18=0,0,1-G18/(B18-H18))</f>
        <v/>
      </c>
      <c r="L18" s="14">
        <f>IF(B18-H18=0,0,C18/(B18-H18))</f>
        <v/>
      </c>
    </row>
    <row r="19">
      <c r="A19" s="12" t="inlineStr">
        <is>
          <t>15 Roles matrix</t>
        </is>
      </c>
      <c r="B19" s="13">
        <f>COUNTA('15 Roles matrix'!$A$4:$A$43)</f>
        <v/>
      </c>
      <c r="C19" s="13">
        <f>COUNTIF('15 Roles matrix'!$J$4:$J$43,"Pass")</f>
        <v/>
      </c>
      <c r="D19" s="13">
        <f>COUNTIF('15 Roles matrix'!$J$4:$J$43,"Fail")</f>
        <v/>
      </c>
      <c r="E19" s="13">
        <f>COUNTIF('15 Roles matrix'!$J$4:$J$43,"Blocked")</f>
        <v/>
      </c>
      <c r="F19" s="13">
        <f>COUNTIF('15 Roles matrix'!$J$4:$J$43,"In progress")</f>
        <v/>
      </c>
      <c r="G19" s="13">
        <f>COUNTIF('15 Roles matrix'!$J$4:$J$43,"Not run")</f>
        <v/>
      </c>
      <c r="H19" s="13">
        <f>COUNTIF('15 Roles matrix'!$J$4:$J$43,"N/A")</f>
        <v/>
      </c>
      <c r="I19" s="13">
        <f>COUNTIF('15 Roles matrix'!$B$4:$B$43,"P1")</f>
        <v/>
      </c>
      <c r="J19" s="13">
        <f>COUNTIFS('15 Roles matrix'!$B$4:$B$43,"P1",'15 Roles matrix'!$J$4:$J$43,"&lt;&gt;Pass",'15 Roles matrix'!$J$4:$J$43,"&lt;&gt;N/A")</f>
        <v/>
      </c>
      <c r="K19" s="14">
        <f>IF(B19-H19=0,0,1-G19/(B19-H19))</f>
        <v/>
      </c>
      <c r="L19" s="14">
        <f>IF(B19-H19=0,0,C19/(B19-H19))</f>
        <v/>
      </c>
    </row>
    <row r="20">
      <c r="A20" s="12" t="inlineStr">
        <is>
          <t>16 Security &amp; privacy</t>
        </is>
      </c>
      <c r="B20" s="13">
        <f>COUNTA('16 Security &amp; privacy'!$A$4:$A$24)</f>
        <v/>
      </c>
      <c r="C20" s="13">
        <f>COUNTIF('16 Security &amp; privacy'!$J$4:$J$24,"Pass")</f>
        <v/>
      </c>
      <c r="D20" s="13">
        <f>COUNTIF('16 Security &amp; privacy'!$J$4:$J$24,"Fail")</f>
        <v/>
      </c>
      <c r="E20" s="13">
        <f>COUNTIF('16 Security &amp; privacy'!$J$4:$J$24,"Blocked")</f>
        <v/>
      </c>
      <c r="F20" s="13">
        <f>COUNTIF('16 Security &amp; privacy'!$J$4:$J$24,"In progress")</f>
        <v/>
      </c>
      <c r="G20" s="13">
        <f>COUNTIF('16 Security &amp; privacy'!$J$4:$J$24,"Not run")</f>
        <v/>
      </c>
      <c r="H20" s="13">
        <f>COUNTIF('16 Security &amp; privacy'!$J$4:$J$24,"N/A")</f>
        <v/>
      </c>
      <c r="I20" s="13">
        <f>COUNTIF('16 Security &amp; privacy'!$B$4:$B$24,"P1")</f>
        <v/>
      </c>
      <c r="J20" s="13">
        <f>COUNTIFS('16 Security &amp; privacy'!$B$4:$B$24,"P1",'16 Security &amp; privacy'!$J$4:$J$24,"&lt;&gt;Pass",'16 Security &amp; privacy'!$J$4:$J$24,"&lt;&gt;N/A")</f>
        <v/>
      </c>
      <c r="K20" s="14">
        <f>IF(B20-H20=0,0,1-G20/(B20-H20))</f>
        <v/>
      </c>
      <c r="L20" s="14">
        <f>IF(B20-H20=0,0,C20/(B20-H20))</f>
        <v/>
      </c>
    </row>
    <row r="21">
      <c r="A21" s="12" t="inlineStr">
        <is>
          <t>17 Quality</t>
        </is>
      </c>
      <c r="B21" s="13">
        <f>COUNTA('17 Quality'!$A$4:$A$23)</f>
        <v/>
      </c>
      <c r="C21" s="13">
        <f>COUNTIF('17 Quality'!$J$4:$J$23,"Pass")</f>
        <v/>
      </c>
      <c r="D21" s="13">
        <f>COUNTIF('17 Quality'!$J$4:$J$23,"Fail")</f>
        <v/>
      </c>
      <c r="E21" s="13">
        <f>COUNTIF('17 Quality'!$J$4:$J$23,"Blocked")</f>
        <v/>
      </c>
      <c r="F21" s="13">
        <f>COUNTIF('17 Quality'!$J$4:$J$23,"In progress")</f>
        <v/>
      </c>
      <c r="G21" s="13">
        <f>COUNTIF('17 Quality'!$J$4:$J$23,"Not run")</f>
        <v/>
      </c>
      <c r="H21" s="13">
        <f>COUNTIF('17 Quality'!$J$4:$J$23,"N/A")</f>
        <v/>
      </c>
      <c r="I21" s="13">
        <f>COUNTIF('17 Quality'!$B$4:$B$23,"P1")</f>
        <v/>
      </c>
      <c r="J21" s="13">
        <f>COUNTIFS('17 Quality'!$B$4:$B$23,"P1",'17 Quality'!$J$4:$J$23,"&lt;&gt;Pass",'17 Quality'!$J$4:$J$23,"&lt;&gt;N/A")</f>
        <v/>
      </c>
      <c r="K21" s="14">
        <f>IF(B21-H21=0,0,1-G21/(B21-H21))</f>
        <v/>
      </c>
      <c r="L21" s="14">
        <f>IF(B21-H21=0,0,C21/(B21-H21))</f>
        <v/>
      </c>
    </row>
    <row r="22">
      <c r="A22" s="12" t="inlineStr">
        <is>
          <t>18 Integrations</t>
        </is>
      </c>
      <c r="B22" s="13">
        <f>COUNTA('18 Integrations'!$A$4:$A$19)</f>
        <v/>
      </c>
      <c r="C22" s="13">
        <f>COUNTIF('18 Integrations'!$J$4:$J$19,"Pass")</f>
        <v/>
      </c>
      <c r="D22" s="13">
        <f>COUNTIF('18 Integrations'!$J$4:$J$19,"Fail")</f>
        <v/>
      </c>
      <c r="E22" s="13">
        <f>COUNTIF('18 Integrations'!$J$4:$J$19,"Blocked")</f>
        <v/>
      </c>
      <c r="F22" s="13">
        <f>COUNTIF('18 Integrations'!$J$4:$J$19,"In progress")</f>
        <v/>
      </c>
      <c r="G22" s="13">
        <f>COUNTIF('18 Integrations'!$J$4:$J$19,"Not run")</f>
        <v/>
      </c>
      <c r="H22" s="13">
        <f>COUNTIF('18 Integrations'!$J$4:$J$19,"N/A")</f>
        <v/>
      </c>
      <c r="I22" s="13">
        <f>COUNTIF('18 Integrations'!$B$4:$B$19,"P1")</f>
        <v/>
      </c>
      <c r="J22" s="13">
        <f>COUNTIFS('18 Integrations'!$B$4:$B$19,"P1",'18 Integrations'!$J$4:$J$19,"&lt;&gt;Pass",'18 Integrations'!$J$4:$J$19,"&lt;&gt;N/A")</f>
        <v/>
      </c>
      <c r="K22" s="14">
        <f>IF(B22-H22=0,0,1-G22/(B22-H22))</f>
        <v/>
      </c>
      <c r="L22" s="14">
        <f>IF(B22-H22=0,0,C22/(B22-H22))</f>
        <v/>
      </c>
    </row>
    <row r="23">
      <c r="A23" s="12" t="inlineStr">
        <is>
          <t>19 Smoke (30 min)</t>
        </is>
      </c>
      <c r="B23" s="13">
        <f>COUNTA('19 Smoke (30 min)'!$A$4:$A$20)</f>
        <v/>
      </c>
      <c r="C23" s="13">
        <f>COUNTIF('19 Smoke (30 min)'!$J$4:$J$20,"Pass")</f>
        <v/>
      </c>
      <c r="D23" s="13">
        <f>COUNTIF('19 Smoke (30 min)'!$J$4:$J$20,"Fail")</f>
        <v/>
      </c>
      <c r="E23" s="13">
        <f>COUNTIF('19 Smoke (30 min)'!$J$4:$J$20,"Blocked")</f>
        <v/>
      </c>
      <c r="F23" s="13">
        <f>COUNTIF('19 Smoke (30 min)'!$J$4:$J$20,"In progress")</f>
        <v/>
      </c>
      <c r="G23" s="13">
        <f>COUNTIF('19 Smoke (30 min)'!$J$4:$J$20,"Not run")</f>
        <v/>
      </c>
      <c r="H23" s="13">
        <f>COUNTIF('19 Smoke (30 min)'!$J$4:$J$20,"N/A")</f>
        <v/>
      </c>
      <c r="I23" s="13">
        <f>COUNTIF('19 Smoke (30 min)'!$B$4:$B$20,"P1")</f>
        <v/>
      </c>
      <c r="J23" s="13">
        <f>COUNTIFS('19 Smoke (30 min)'!$B$4:$B$20,"P1",'19 Smoke (30 min)'!$J$4:$J$20,"&lt;&gt;Pass",'19 Smoke (30 min)'!$J$4:$J$20,"&lt;&gt;N/A")</f>
        <v/>
      </c>
      <c r="K23" s="14">
        <f>IF(B23-H23=0,0,1-G23/(B23-H23))</f>
        <v/>
      </c>
      <c r="L23" s="14">
        <f>IF(B23-H23=0,0,C23/(B23-H23))</f>
        <v/>
      </c>
    </row>
    <row r="24">
      <c r="A24" s="12" t="inlineStr">
        <is>
          <t>20 Release &amp; sign-off</t>
        </is>
      </c>
      <c r="B24" s="13">
        <f>COUNTA('20 Release &amp; sign-off'!$A$4:$A$14)</f>
        <v/>
      </c>
      <c r="C24" s="13">
        <f>COUNTIF('20 Release &amp; sign-off'!$J$4:$J$14,"Pass")</f>
        <v/>
      </c>
      <c r="D24" s="13">
        <f>COUNTIF('20 Release &amp; sign-off'!$J$4:$J$14,"Fail")</f>
        <v/>
      </c>
      <c r="E24" s="13">
        <f>COUNTIF('20 Release &amp; sign-off'!$J$4:$J$14,"Blocked")</f>
        <v/>
      </c>
      <c r="F24" s="13">
        <f>COUNTIF('20 Release &amp; sign-off'!$J$4:$J$14,"In progress")</f>
        <v/>
      </c>
      <c r="G24" s="13">
        <f>COUNTIF('20 Release &amp; sign-off'!$J$4:$J$14,"Not run")</f>
        <v/>
      </c>
      <c r="H24" s="13">
        <f>COUNTIF('20 Release &amp; sign-off'!$J$4:$J$14,"N/A")</f>
        <v/>
      </c>
      <c r="I24" s="13">
        <f>COUNTIF('20 Release &amp; sign-off'!$B$4:$B$14,"P1")</f>
        <v/>
      </c>
      <c r="J24" s="13">
        <f>COUNTIFS('20 Release &amp; sign-off'!$B$4:$B$14,"P1",'20 Release &amp; sign-off'!$J$4:$J$14,"&lt;&gt;Pass",'20 Release &amp; sign-off'!$J$4:$J$14,"&lt;&gt;N/A")</f>
        <v/>
      </c>
      <c r="K24" s="14">
        <f>IF(B24-H24=0,0,1-G24/(B24-H24))</f>
        <v/>
      </c>
      <c r="L24" s="14">
        <f>IF(B24-H24=0,0,C24/(B24-H24))</f>
        <v/>
      </c>
    </row>
    <row r="25">
      <c r="A25" s="15" t="inlineStr">
        <is>
          <t>TOTAL</t>
        </is>
      </c>
      <c r="B25" s="16">
        <f>SUM(B5:B24)</f>
        <v/>
      </c>
      <c r="C25" s="16">
        <f>SUM(C5:C24)</f>
        <v/>
      </c>
      <c r="D25" s="16">
        <f>SUM(D5:D24)</f>
        <v/>
      </c>
      <c r="E25" s="16">
        <f>SUM(E5:E24)</f>
        <v/>
      </c>
      <c r="F25" s="16">
        <f>SUM(F5:F24)</f>
        <v/>
      </c>
      <c r="G25" s="16">
        <f>SUM(G5:G24)</f>
        <v/>
      </c>
      <c r="H25" s="16">
        <f>SUM(H5:H24)</f>
        <v/>
      </c>
      <c r="I25" s="16">
        <f>SUM(I5:I24)</f>
        <v/>
      </c>
      <c r="J25" s="16">
        <f>SUM(J5:J24)</f>
        <v/>
      </c>
      <c r="K25" s="17">
        <f>IF(B25-H25=0,0,1-G25/(B25-H25))</f>
        <v/>
      </c>
      <c r="L25" s="17">
        <f>IF(B25-H25=0,0,C25/(B25-H25))</f>
        <v/>
      </c>
    </row>
    <row r="27">
      <c r="A27" s="7" t="inlineStr">
        <is>
          <t>Open defects (not verified / closed)</t>
        </is>
      </c>
      <c r="B27" s="7">
        <f>COUNTA('21 Defect log'!G4:G203)-COUNTIF('21 Defect log'!M4:M203,"Verified")-COUNTIF('21 Defect log'!M4:M203,"Won't fix")-COUNTIF('21 Defect log'!M4:M203,"Duplicate")</f>
        <v/>
      </c>
    </row>
    <row r="28">
      <c r="A28" s="18" t="inlineStr">
        <is>
          <t xml:space="preserve">  of which Blocker</t>
        </is>
      </c>
      <c r="B28" s="18">
        <f>COUNTIFS('21 Defect log'!F4:F203,"Blocker",'21 Defect log'!M4:M203,"&lt;&gt;Verified",'21 Defect log'!M4:M203,"&lt;&gt;Won't fix",'21 Defect log'!M4:M203,"&lt;&gt;Duplicate")</f>
        <v/>
      </c>
    </row>
    <row r="29">
      <c r="A29" s="18" t="inlineStr">
        <is>
          <t xml:space="preserve">  of which Major</t>
        </is>
      </c>
      <c r="B29" s="18">
        <f>COUNTIFS('21 Defect log'!F4:F203,"Major",'21 Defect log'!M4:M203,"&lt;&gt;Verified",'21 Defect log'!M4:M203,"&lt;&gt;Won't fix",'21 Defect log'!M4:M203,"&lt;&gt;Duplicate")</f>
        <v/>
      </c>
    </row>
    <row r="31">
      <c r="A31" s="19" t="inlineStr">
        <is>
          <t>Release recommendation</t>
        </is>
      </c>
      <c r="B31" s="19">
        <f>IF(OR(J25&gt;0,B28&gt;0),"NOT READY: P1 checks not passed or a Blocker is open",IF(G25&gt;0,"NOT READY: checks not yet run","READY: all P1 passed, nothing blocking"))</f>
        <v/>
      </c>
    </row>
  </sheetData>
  <conditionalFormatting sqref="D5:D25">
    <cfRule type="cellIs" priority="1" operator="greaterThan" dxfId="0">
      <formula>0</formula>
    </cfRule>
  </conditionalFormatting>
  <conditionalFormatting sqref="J5:J25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Setup and environment (do this first)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SET-01</t>
        </is>
      </c>
      <c r="B4" s="21" t="inlineStr">
        <is>
          <t>P1</t>
        </is>
      </c>
      <c r="C4" s="22" t="inlineStr">
        <is>
          <t>QA lead</t>
        </is>
      </c>
      <c r="D4" s="22" t="inlineStr">
        <is>
          <t>Environment</t>
        </is>
      </c>
      <c r="E4" s="22" t="inlineStr">
        <is>
          <t>Test environment is identified</t>
        </is>
      </c>
      <c r="F4" s="22" t="inlineStr">
        <is>
          <t>Write down the URLs: marketing, store (e.g. demo.&lt;root&gt;), admin, platform admin.</t>
        </is>
      </c>
      <c r="G4" s="22" t="inlineStr">
        <is>
          <t>All four URLs recorded on the Read Me sheet.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SET-02</t>
        </is>
      </c>
      <c r="B5" s="26" t="inlineStr">
        <is>
          <t>P1</t>
        </is>
      </c>
      <c r="C5" s="27" t="inlineStr">
        <is>
          <t>QA lead</t>
        </is>
      </c>
      <c r="D5" s="27" t="inlineStr">
        <is>
          <t>Database</t>
        </is>
      </c>
      <c r="E5" s="27" t="inlineStr">
        <is>
          <t>All database migrations are applied</t>
        </is>
      </c>
      <c r="F5" s="27" t="inlineStr">
        <is>
          <t>GitHub &gt; Actions &gt; Migrations &gt; latest run.</t>
        </is>
      </c>
      <c r="G5" s="27" t="inlineStr">
        <is>
          <t>Run is green and says 'All N migrations are applied'.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SET-03</t>
        </is>
      </c>
      <c r="B6" s="21" t="inlineStr">
        <is>
          <t>P1</t>
        </is>
      </c>
      <c r="C6" s="22" t="inlineStr">
        <is>
          <t>QA lead</t>
        </is>
      </c>
      <c r="D6" s="22" t="inlineStr">
        <is>
          <t>Database</t>
        </is>
      </c>
      <c r="E6" s="22" t="inlineStr">
        <is>
          <t>Latest deployment is the commit under test</t>
        </is>
      </c>
      <c r="F6" s="22" t="inlineStr">
        <is>
          <t>Vercel &gt; Deployments for each app.</t>
        </is>
      </c>
      <c r="G6" s="22" t="inlineStr">
        <is>
          <t>All apps show READY for the same commit; no failed build.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SET-04</t>
        </is>
      </c>
      <c r="B7" s="26" t="inlineStr">
        <is>
          <t>P1</t>
        </is>
      </c>
      <c r="C7" s="27" t="inlineStr">
        <is>
          <t>QA lead</t>
        </is>
      </c>
      <c r="D7" s="27" t="inlineStr">
        <is>
          <t>Config</t>
        </is>
      </c>
      <c r="E7" s="27" t="inlineStr">
        <is>
          <t>Server secrets are set</t>
        </is>
      </c>
      <c r="F7" s="27" t="inlineStr">
        <is>
          <t>Check Vercel env: CRON_SECRET, CUSTOMER_AUTH_SECRET, INTEGRATION_VAULT_SECRET, PREVIEW_SECRET, PHONE_TRUST_SALT, SMS provider key, Supabase keys.</t>
        </is>
      </c>
      <c r="G7" s="27" t="inlineStr">
        <is>
          <t>No secret missing; nothing placeholder.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SET-05</t>
        </is>
      </c>
      <c r="B8" s="21" t="inlineStr">
        <is>
          <t>P1</t>
        </is>
      </c>
      <c r="C8" s="22" t="inlineStr">
        <is>
          <t>Platform owner</t>
        </is>
      </c>
      <c r="D8" s="22" t="inlineStr">
        <is>
          <t>Config</t>
        </is>
      </c>
      <c r="E8" s="22" t="inlineStr">
        <is>
          <t>Fraud checker key is entered</t>
        </is>
      </c>
      <c r="F8" s="22" t="inlineStr">
        <is>
          <t>Platform admin &gt; Settings &gt; Fraud checker. Paste key, press Test.</t>
        </is>
      </c>
      <c r="G8" s="22" t="inlineStr">
        <is>
          <t>Test says 'The key works'. Active key shows masked.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SET-06</t>
        </is>
      </c>
      <c r="B9" s="26" t="inlineStr">
        <is>
          <t>P2</t>
        </is>
      </c>
      <c r="C9" s="27" t="inlineStr">
        <is>
          <t>QA lead</t>
        </is>
      </c>
      <c r="D9" s="27" t="inlineStr">
        <is>
          <t>Config</t>
        </is>
      </c>
      <c r="E9" s="27" t="inlineStr">
        <is>
          <t>Cron jobs are scheduled</t>
        </is>
      </c>
      <c r="F9" s="27" t="inlineStr">
        <is>
          <t>Check scheduler for /api/cron/abandoned, /api/cron/stock-alerts, /api/cron/courier-sync, /api/cron/loyalty, /api/cron/domains, /api/cron/billing.</t>
        </is>
      </c>
      <c r="G9" s="27" t="inlineStr">
        <is>
          <t>Each is scheduled with the Authorization: Bearer CRON_SECRET header.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SET-07</t>
        </is>
      </c>
      <c r="B10" s="21" t="inlineStr">
        <is>
          <t>P1</t>
        </is>
      </c>
      <c r="C10" s="22" t="inlineStr">
        <is>
          <t>QA lead</t>
        </is>
      </c>
      <c r="D10" s="22" t="inlineStr">
        <is>
          <t>Accounts</t>
        </is>
      </c>
      <c r="E10" s="22" t="inlineStr">
        <is>
          <t>Test accounts exist for every role</t>
        </is>
      </c>
      <c r="F10" s="22" t="inlineStr">
        <is>
          <t>Create: store owner, manager, packer (order packer), support (telemarketer), content editor; platform owner, finance, support lead, support.</t>
        </is>
      </c>
      <c r="G10" s="22" t="inlineStr">
        <is>
          <t>Each can sign in. Write the emails (not passwords) on the Read Me sheet.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SET-08</t>
        </is>
      </c>
      <c r="B11" s="26" t="inlineStr">
        <is>
          <t>P1</t>
        </is>
      </c>
      <c r="C11" s="27" t="inlineStr">
        <is>
          <t>QA lead</t>
        </is>
      </c>
      <c r="D11" s="27" t="inlineStr">
        <is>
          <t>Test data</t>
        </is>
      </c>
      <c r="E11" s="27" t="inlineStr">
        <is>
          <t>A test store exists with sample data</t>
        </is>
      </c>
      <c r="F11" s="27" t="inlineStr">
        <is>
          <t>At least: 6 products (one with sizes, one sold out), 3 categories (one sub-category), 3 shipping zones, a coupon, bKash and Nagad numbers set, COD on.</t>
        </is>
      </c>
      <c r="G11" s="27" t="inlineStr">
        <is>
          <t>Store opens on its address with products visible.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SET-09</t>
        </is>
      </c>
      <c r="B12" s="21" t="inlineStr">
        <is>
          <t>P2</t>
        </is>
      </c>
      <c r="C12" s="22" t="inlineStr">
        <is>
          <t>QA lead</t>
        </is>
      </c>
      <c r="D12" s="22" t="inlineStr">
        <is>
          <t>Test data</t>
        </is>
      </c>
      <c r="E12" s="22" t="inlineStr">
        <is>
          <t>Test phones and bKash/Nagad TrxIDs ready</t>
        </is>
      </c>
      <c r="F12" s="22" t="inlineStr">
        <is>
          <t>Prepare 6 fresh BD mobile numbers (01XXXXXXXXX) and 6 unused 8-12 character TrxIDs.</t>
        </is>
      </c>
      <c r="G12" s="22" t="inlineStr">
        <is>
          <t>Numbers are valid; none used by an earlier test day (limit: 3 storefront orders per phone per day).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SET-10</t>
        </is>
      </c>
      <c r="B13" s="26" t="inlineStr">
        <is>
          <t>P2</t>
        </is>
      </c>
      <c r="C13" s="27" t="inlineStr">
        <is>
          <t>QA lead</t>
        </is>
      </c>
      <c r="D13" s="27" t="inlineStr">
        <is>
          <t>Test data</t>
        </is>
      </c>
      <c r="E13" s="27" t="inlineStr">
        <is>
          <t>Courier test accounts</t>
        </is>
      </c>
      <c r="F13" s="27" t="inlineStr">
        <is>
          <t>Steadfast, Pathao, RedX sandbox/live keys saved in Admin &gt; Settings &gt; Apps.</t>
        </is>
      </c>
      <c r="G13" s="27" t="inlineStr">
        <is>
          <t>Each shows Connected; test button passes.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SET-11</t>
        </is>
      </c>
      <c r="B14" s="21" t="inlineStr">
        <is>
          <t>P2</t>
        </is>
      </c>
      <c r="C14" s="22" t="inlineStr">
        <is>
          <t>QA lead</t>
        </is>
      </c>
      <c r="D14" s="22" t="inlineStr">
        <is>
          <t>Devices</t>
        </is>
      </c>
      <c r="E14" s="22" t="inlineStr">
        <is>
          <t>Devices and browsers listed</t>
        </is>
      </c>
      <c r="F14" s="22" t="inlineStr">
        <is>
          <t>Phone 390px wide (real Android + iPhone if possible), desktop 1440px, Chrome, Safari, Firefox, Edge.</t>
        </is>
      </c>
      <c r="G14" s="22" t="inlineStr">
        <is>
          <t>List recorded on the Read Me sheet.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SET-12</t>
        </is>
      </c>
      <c r="B15" s="26" t="inlineStr">
        <is>
          <t>P2</t>
        </is>
      </c>
      <c r="C15" s="27" t="inlineStr">
        <is>
          <t>QA lead</t>
        </is>
      </c>
      <c r="D15" s="27" t="inlineStr">
        <is>
          <t>Backup</t>
        </is>
      </c>
      <c r="E15" s="27" t="inlineStr">
        <is>
          <t>A backup exists before testing on production</t>
        </is>
      </c>
      <c r="F15" s="27" t="inlineStr">
        <is>
          <t>Check the latest Backup workflow run.</t>
        </is>
      </c>
      <c r="G15" s="27" t="inlineStr">
        <is>
          <t>Green run within 24 hours.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</sheetData>
  <autoFilter ref="A3:M15"/>
  <conditionalFormatting sqref="J4:J15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5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5">
    <cfRule type="cellIs" priority="6" operator="equal" dxfId="6">
      <formula>"P1"</formula>
    </cfRule>
  </conditionalFormatting>
  <dataValidations count="1">
    <dataValidation sqref="H4:I15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Marketing website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MKT-01</t>
        </is>
      </c>
      <c r="B4" s="21" t="inlineStr">
        <is>
          <t>P1</t>
        </is>
      </c>
      <c r="C4" s="22" t="inlineStr">
        <is>
          <t>Visitor</t>
        </is>
      </c>
      <c r="D4" s="22" t="inlineStr">
        <is>
          <t>/</t>
        </is>
      </c>
      <c r="E4" s="22" t="inlineStr">
        <is>
          <t>Home page loads</t>
        </is>
      </c>
      <c r="F4" s="22" t="inlineStr">
        <is>
          <t>Open the marketing home on phone and desktop.</t>
        </is>
      </c>
      <c r="G4" s="22" t="inlineStr">
        <is>
          <t>Page loads under 3 s, no errors, hero, CTA 'Open a free store' visible.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MKT-02</t>
        </is>
      </c>
      <c r="B5" s="26" t="inlineStr">
        <is>
          <t>P1</t>
        </is>
      </c>
      <c r="C5" s="27" t="inlineStr">
        <is>
          <t>Visitor</t>
        </is>
      </c>
      <c r="D5" s="27" t="inlineStr">
        <is>
          <t>/</t>
        </is>
      </c>
      <c r="E5" s="27" t="inlineStr">
        <is>
          <t>Primary call-to-action works</t>
        </is>
      </c>
      <c r="F5" s="27" t="inlineStr">
        <is>
          <t>Click the main signup button.</t>
        </is>
      </c>
      <c r="G5" s="27" t="inlineStr">
        <is>
          <t>Goes to /start (signup).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MKT-03</t>
        </is>
      </c>
      <c r="B6" s="21" t="inlineStr">
        <is>
          <t>P2</t>
        </is>
      </c>
      <c r="C6" s="22" t="inlineStr">
        <is>
          <t>Visitor</t>
        </is>
      </c>
      <c r="D6" s="22" t="inlineStr">
        <is>
          <t>/</t>
        </is>
      </c>
      <c r="E6" s="22" t="inlineStr">
        <is>
          <t>Navigation and footer links</t>
        </is>
      </c>
      <c r="F6" s="22" t="inlineStr">
        <is>
          <t>Click every header and footer link.</t>
        </is>
      </c>
      <c r="G6" s="22" t="inlineStr">
        <is>
          <t>No 404. Links open the right page. Privacy and Terms linked in footer.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MKT-04</t>
        </is>
      </c>
      <c r="B7" s="26" t="inlineStr">
        <is>
          <t>P2</t>
        </is>
      </c>
      <c r="C7" s="27" t="inlineStr">
        <is>
          <t>Visitor</t>
        </is>
      </c>
      <c r="D7" s="27" t="inlineStr">
        <is>
          <t>/</t>
        </is>
      </c>
      <c r="E7" s="27" t="inlineStr">
        <is>
          <t>Language</t>
        </is>
      </c>
      <c r="F7" s="27" t="inlineStr">
        <is>
          <t>Check Bangla and English text where offered.</t>
        </is>
      </c>
      <c r="G7" s="27" t="inlineStr">
        <is>
          <t>Bangla renders with correct font; no broken characters.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MKT-05</t>
        </is>
      </c>
      <c r="B8" s="21" t="inlineStr">
        <is>
          <t>P2</t>
        </is>
      </c>
      <c r="C8" s="22" t="inlineStr">
        <is>
          <t>Visitor</t>
        </is>
      </c>
      <c r="D8" s="22" t="inlineStr">
        <is>
          <t>/features</t>
        </is>
      </c>
      <c r="E8" s="22" t="inlineStr">
        <is>
          <t>Features page</t>
        </is>
      </c>
      <c r="F8" s="22" t="inlineStr">
        <is>
          <t>Open /features.</t>
        </is>
      </c>
      <c r="G8" s="22" t="inlineStr">
        <is>
          <t>All feature sections show; images load; no layout break at 390px.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MKT-06</t>
        </is>
      </c>
      <c r="B9" s="26" t="inlineStr">
        <is>
          <t>P1</t>
        </is>
      </c>
      <c r="C9" s="27" t="inlineStr">
        <is>
          <t>Visitor</t>
        </is>
      </c>
      <c r="D9" s="27" t="inlineStr">
        <is>
          <t>/pricing</t>
        </is>
      </c>
      <c r="E9" s="27" t="inlineStr">
        <is>
          <t>Plans and prices are correct</t>
        </is>
      </c>
      <c r="F9" s="27" t="inlineStr">
        <is>
          <t>Compare each plan card with the Platform admin &gt; Plans values.</t>
        </is>
      </c>
      <c r="G9" s="27" t="inlineStr">
        <is>
          <t>Same names, monthly and yearly prices, limits and features.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MKT-07</t>
        </is>
      </c>
      <c r="B10" s="21" t="inlineStr">
        <is>
          <t>P2</t>
        </is>
      </c>
      <c r="C10" s="22" t="inlineStr">
        <is>
          <t>Visitor</t>
        </is>
      </c>
      <c r="D10" s="22" t="inlineStr">
        <is>
          <t>/pricing</t>
        </is>
      </c>
      <c r="E10" s="22" t="inlineStr">
        <is>
          <t>Monthly / yearly toggle</t>
        </is>
      </c>
      <c r="F10" s="22" t="inlineStr">
        <is>
          <t>Switch the toggle.</t>
        </is>
      </c>
      <c r="G10" s="22" t="inlineStr">
        <is>
          <t>Prices and 'save' text update correctly.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MKT-08</t>
        </is>
      </c>
      <c r="B11" s="26" t="inlineStr">
        <is>
          <t>P2</t>
        </is>
      </c>
      <c r="C11" s="27" t="inlineStr">
        <is>
          <t>Visitor</t>
        </is>
      </c>
      <c r="D11" s="27" t="inlineStr">
        <is>
          <t>/pricing</t>
        </is>
      </c>
      <c r="E11" s="27" t="inlineStr">
        <is>
          <t>Plan buttons</t>
        </is>
      </c>
      <c r="F11" s="27" t="inlineStr">
        <is>
          <t>Click each plan's button.</t>
        </is>
      </c>
      <c r="G11" s="27" t="inlineStr">
        <is>
          <t>Goes to /start with the plan chosen.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MKT-09</t>
        </is>
      </c>
      <c r="B12" s="21" t="inlineStr">
        <is>
          <t>P2</t>
        </is>
      </c>
      <c r="C12" s="22" t="inlineStr">
        <is>
          <t>Visitor</t>
        </is>
      </c>
      <c r="D12" s="22" t="inlineStr">
        <is>
          <t>/templates</t>
        </is>
      </c>
      <c r="E12" s="22" t="inlineStr">
        <is>
          <t>Template gallery</t>
        </is>
      </c>
      <c r="F12" s="22" t="inlineStr">
        <is>
          <t>Open /templates; open a template preview.</t>
        </is>
      </c>
      <c r="G12" s="22" t="inlineStr">
        <is>
          <t>Previews load in the store theme; back button returns.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MKT-10</t>
        </is>
      </c>
      <c r="B13" s="26" t="inlineStr">
        <is>
          <t>P3</t>
        </is>
      </c>
      <c r="C13" s="27" t="inlineStr">
        <is>
          <t>Visitor</t>
        </is>
      </c>
      <c r="D13" s="27" t="inlineStr">
        <is>
          <t>/compare</t>
        </is>
      </c>
      <c r="E13" s="27" t="inlineStr">
        <is>
          <t>Comparison page</t>
        </is>
      </c>
      <c r="F13" s="27" t="inlineStr">
        <is>
          <t>Open /compare.</t>
        </is>
      </c>
      <c r="G13" s="27" t="inlineStr">
        <is>
          <t>Table readable on phone (scrolls inside its box, not the page).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MKT-11</t>
        </is>
      </c>
      <c r="B14" s="21" t="inlineStr">
        <is>
          <t>P2</t>
        </is>
      </c>
      <c r="C14" s="22" t="inlineStr">
        <is>
          <t>Visitor</t>
        </is>
      </c>
      <c r="D14" s="22" t="inlineStr">
        <is>
          <t>/couriers</t>
        </is>
      </c>
      <c r="E14" s="22" t="inlineStr">
        <is>
          <t>Couriers page</t>
        </is>
      </c>
      <c r="F14" s="22" t="inlineStr">
        <is>
          <t>Open /couriers.</t>
        </is>
      </c>
      <c r="G14" s="22" t="inlineStr">
        <is>
          <t>Steadfast, Pathao, RedX instructions show; no broken links.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MKT-12</t>
        </is>
      </c>
      <c r="B15" s="26" t="inlineStr">
        <is>
          <t>P2</t>
        </is>
      </c>
      <c r="C15" s="27" t="inlineStr">
        <is>
          <t>Visitor</t>
        </is>
      </c>
      <c r="D15" s="27" t="inlineStr">
        <is>
          <t>/migrate</t>
        </is>
      </c>
      <c r="E15" s="27" t="inlineStr">
        <is>
          <t>Migration page</t>
        </is>
      </c>
      <c r="F15" s="27" t="inlineStr">
        <is>
          <t>Open /migrate.</t>
        </is>
      </c>
      <c r="G15" s="27" t="inlineStr">
        <is>
          <t>Explains import from Shopify/WooCommerce; links to signup.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MKT-13</t>
        </is>
      </c>
      <c r="B16" s="21" t="inlineStr">
        <is>
          <t>P1</t>
        </is>
      </c>
      <c r="C16" s="22" t="inlineStr">
        <is>
          <t>Visitor</t>
        </is>
      </c>
      <c r="D16" s="22" t="inlineStr">
        <is>
          <t>/contact</t>
        </is>
      </c>
      <c r="E16" s="22" t="inlineStr">
        <is>
          <t>Contact form sends</t>
        </is>
      </c>
      <c r="F16" s="22" t="inlineStr">
        <is>
          <t>Fill name, phone/email, message; submit.</t>
        </is>
      </c>
      <c r="G16" s="22" t="inlineStr">
        <is>
          <t>Success message. Platform admin &gt; Inquiries shows the message.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MKT-14</t>
        </is>
      </c>
      <c r="B17" s="26" t="inlineStr">
        <is>
          <t>P2</t>
        </is>
      </c>
      <c r="C17" s="27" t="inlineStr">
        <is>
          <t>Visitor</t>
        </is>
      </c>
      <c r="D17" s="27" t="inlineStr">
        <is>
          <t>/contact</t>
        </is>
      </c>
      <c r="E17" s="27" t="inlineStr">
        <is>
          <t>Contact form checks</t>
        </is>
      </c>
      <c r="F17" s="27" t="inlineStr">
        <is>
          <t>Submit empty; submit bad phone/email.</t>
        </is>
      </c>
      <c r="G17" s="27" t="inlineStr">
        <is>
          <t>Clear field errors; nothing is sent.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MKT-15</t>
        </is>
      </c>
      <c r="B18" s="21" t="inlineStr">
        <is>
          <t>P1</t>
        </is>
      </c>
      <c r="C18" s="22" t="inlineStr">
        <is>
          <t>Visitor</t>
        </is>
      </c>
      <c r="D18" s="22" t="inlineStr">
        <is>
          <t>/start</t>
        </is>
      </c>
      <c r="E18" s="22" t="inlineStr">
        <is>
          <t>Signup page loads</t>
        </is>
      </c>
      <c r="F18" s="22" t="inlineStr">
        <is>
          <t>Open /start.</t>
        </is>
      </c>
      <c r="G18" s="22" t="inlineStr">
        <is>
          <t>Form shows with store name, email, phone, password steps as designed.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MKT-16</t>
        </is>
      </c>
      <c r="B19" s="26" t="inlineStr">
        <is>
          <t>P1</t>
        </is>
      </c>
      <c r="C19" s="27" t="inlineStr">
        <is>
          <t>Visitor</t>
        </is>
      </c>
      <c r="D19" s="27" t="inlineStr">
        <is>
          <t>/start</t>
        </is>
      </c>
      <c r="E19" s="27" t="inlineStr">
        <is>
          <t>Signup creates a store</t>
        </is>
      </c>
      <c r="F19" s="27" t="inlineStr">
        <is>
          <t>Sign up with a new email and store name.</t>
        </is>
      </c>
      <c r="G19" s="27" t="inlineStr">
        <is>
          <t>Verification step shown; after verifying, store is created and you land in admin.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MKT-17</t>
        </is>
      </c>
      <c r="B20" s="21" t="inlineStr">
        <is>
          <t>P1</t>
        </is>
      </c>
      <c r="C20" s="22" t="inlineStr">
        <is>
          <t>Visitor</t>
        </is>
      </c>
      <c r="D20" s="22" t="inlineStr">
        <is>
          <t>/start</t>
        </is>
      </c>
      <c r="E20" s="22" t="inlineStr">
        <is>
          <t>Duplicate store name / email</t>
        </is>
      </c>
      <c r="F20" s="22" t="inlineStr">
        <is>
          <t>Sign up again with the same email and with an existing store name.</t>
        </is>
      </c>
      <c r="G20" s="22" t="inlineStr">
        <is>
          <t>Plain message; no second store created.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MKT-18</t>
        </is>
      </c>
      <c r="B21" s="26" t="inlineStr">
        <is>
          <t>P2</t>
        </is>
      </c>
      <c r="C21" s="27" t="inlineStr">
        <is>
          <t>Visitor</t>
        </is>
      </c>
      <c r="D21" s="27" t="inlineStr">
        <is>
          <t>/start</t>
        </is>
      </c>
      <c r="E21" s="27" t="inlineStr">
        <is>
          <t>Store address rules</t>
        </is>
      </c>
      <c r="F21" s="27" t="inlineStr">
        <is>
          <t>Try spaces, capitals, symbols, a reserved word (admin, www).</t>
        </is>
      </c>
      <c r="G21" s="27" t="inlineStr">
        <is>
          <t>Cleaned or refused with a clear message.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MKT-19</t>
        </is>
      </c>
      <c r="B22" s="21" t="inlineStr">
        <is>
          <t>P2</t>
        </is>
      </c>
      <c r="C22" s="22" t="inlineStr">
        <is>
          <t>Visitor</t>
        </is>
      </c>
      <c r="D22" s="22" t="inlineStr">
        <is>
          <t>/start</t>
        </is>
      </c>
      <c r="E22" s="22" t="inlineStr">
        <is>
          <t>Trial status</t>
        </is>
      </c>
      <c r="F22" s="22" t="inlineStr">
        <is>
          <t>After signup, check the plan.</t>
        </is>
      </c>
      <c r="G22" s="22" t="inlineStr">
        <is>
          <t>Trial plan with correct end date; Platform admin shows the tenant as TRIAL.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MKT-20</t>
        </is>
      </c>
      <c r="B23" s="26" t="inlineStr">
        <is>
          <t>P1</t>
        </is>
      </c>
      <c r="C23" s="27" t="inlineStr">
        <is>
          <t>Visitor</t>
        </is>
      </c>
      <c r="D23" s="27" t="inlineStr">
        <is>
          <t>/tools/courier-fraud-checker</t>
        </is>
      </c>
      <c r="E23" s="27" t="inlineStr">
        <is>
          <t>Fraud checker tool works</t>
        </is>
      </c>
      <c r="F23" s="27" t="inlineStr">
        <is>
          <t>Enter a valid BD number; run the check.</t>
        </is>
      </c>
      <c r="G23" s="27" t="inlineStr">
        <is>
          <t>Result with score, parcel counts and courier breakdown within 10 s.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  <row r="24">
      <c r="A24" s="21" t="inlineStr">
        <is>
          <t>MKT-21</t>
        </is>
      </c>
      <c r="B24" s="21" t="inlineStr">
        <is>
          <t>P1</t>
        </is>
      </c>
      <c r="C24" s="22" t="inlineStr">
        <is>
          <t>Visitor</t>
        </is>
      </c>
      <c r="D24" s="22" t="inlineStr">
        <is>
          <t>/tools/courier-fraud-checker</t>
        </is>
      </c>
      <c r="E24" s="22" t="inlineStr">
        <is>
          <t>Invalid number</t>
        </is>
      </c>
      <c r="F24" s="22" t="inlineStr">
        <is>
          <t>Enter 123 or letters.</t>
        </is>
      </c>
      <c r="G24" s="22" t="inlineStr">
        <is>
          <t>Plain error; no crash.</t>
        </is>
      </c>
      <c r="H24" s="23" t="n"/>
      <c r="I24" s="23" t="n"/>
      <c r="J24" s="24">
        <f>IF(OR(H24="Fail",I24="Fail"),"Fail",IF(OR(H24="Blocked",I24="Blocked"),"Blocked",IF(AND(OR(H24="Pass",H24="N/A"),OR(I24="Pass",I24="N/A"),COUNTIF(H24:I24,"Pass")&gt;0),"Pass",IF(AND(H24="N/A",I24="N/A"),"N/A",IF(COUNTA(H24:I24)=0,"Not run","In progress")))))</f>
        <v/>
      </c>
      <c r="K24" s="25" t="n"/>
      <c r="L24" s="23" t="n"/>
      <c r="M24" s="25" t="n"/>
    </row>
    <row r="25">
      <c r="A25" s="26" t="inlineStr">
        <is>
          <t>MKT-22</t>
        </is>
      </c>
      <c r="B25" s="26" t="inlineStr">
        <is>
          <t>P1</t>
        </is>
      </c>
      <c r="C25" s="27" t="inlineStr">
        <is>
          <t>Visitor</t>
        </is>
      </c>
      <c r="D25" s="27" t="inlineStr">
        <is>
          <t>/tools/courier-fraud-checker</t>
        </is>
      </c>
      <c r="E25" s="27" t="inlineStr">
        <is>
          <t>No developer API section</t>
        </is>
      </c>
      <c r="F25" s="27" t="inlineStr">
        <is>
          <t>Scroll the whole page and view source.</t>
        </is>
      </c>
      <c r="G25" s="27" t="inlineStr">
        <is>
          <t>No REST API documentation, no API key anywhere on the page or in the source.</t>
        </is>
      </c>
      <c r="H25" s="23" t="n"/>
      <c r="I25" s="23" t="n"/>
      <c r="J25" s="28">
        <f>IF(OR(H25="Fail",I25="Fail"),"Fail",IF(OR(H25="Blocked",I25="Blocked"),"Blocked",IF(AND(OR(H25="Pass",H25="N/A"),OR(I25="Pass",I25="N/A"),COUNTIF(H25:I25,"Pass")&gt;0),"Pass",IF(AND(H25="N/A",I25="N/A"),"N/A",IF(COUNTA(H25:I25)=0,"Not run","In progress")))))</f>
        <v/>
      </c>
      <c r="K25" s="25" t="n"/>
      <c r="L25" s="23" t="n"/>
      <c r="M25" s="25" t="n"/>
    </row>
    <row r="26">
      <c r="A26" s="21" t="inlineStr">
        <is>
          <t>MKT-23</t>
        </is>
      </c>
      <c r="B26" s="21" t="inlineStr">
        <is>
          <t>P2</t>
        </is>
      </c>
      <c r="C26" s="22" t="inlineStr">
        <is>
          <t>Visitor</t>
        </is>
      </c>
      <c r="D26" s="22" t="inlineStr">
        <is>
          <t>/tools/courier-fraud-checker</t>
        </is>
      </c>
      <c r="E26" s="22" t="inlineStr">
        <is>
          <t>Rate limit / abuse</t>
        </is>
      </c>
      <c r="F26" s="22" t="inlineStr">
        <is>
          <t>Run 20 checks quickly.</t>
        </is>
      </c>
      <c r="G26" s="22" t="inlineStr">
        <is>
          <t>Limited politely; page does not break.</t>
        </is>
      </c>
      <c r="H26" s="23" t="n"/>
      <c r="I26" s="23" t="n"/>
      <c r="J26" s="24">
        <f>IF(OR(H26="Fail",I26="Fail"),"Fail",IF(OR(H26="Blocked",I26="Blocked"),"Blocked",IF(AND(OR(H26="Pass",H26="N/A"),OR(I26="Pass",I26="N/A"),COUNTIF(H26:I26,"Pass")&gt;0),"Pass",IF(AND(H26="N/A",I26="N/A"),"N/A",IF(COUNTA(H26:I26)=0,"Not run","In progress")))))</f>
        <v/>
      </c>
      <c r="K26" s="25" t="n"/>
      <c r="L26" s="23" t="n"/>
      <c r="M26" s="25" t="n"/>
    </row>
    <row r="27">
      <c r="A27" s="26" t="inlineStr">
        <is>
          <t>MKT-24</t>
        </is>
      </c>
      <c r="B27" s="26" t="inlineStr">
        <is>
          <t>P3</t>
        </is>
      </c>
      <c r="C27" s="27" t="inlineStr">
        <is>
          <t>Visitor</t>
        </is>
      </c>
      <c r="D27" s="27" t="inlineStr">
        <is>
          <t>/fraud-check</t>
        </is>
      </c>
      <c r="E27" s="27" t="inlineStr">
        <is>
          <t>Old address redirects</t>
        </is>
      </c>
      <c r="F27" s="27" t="inlineStr">
        <is>
          <t>Open /fraud-check.</t>
        </is>
      </c>
      <c r="G27" s="27" t="inlineStr">
        <is>
          <t>301 to /tools/courier-fraud-checker.</t>
        </is>
      </c>
      <c r="H27" s="23" t="n"/>
      <c r="I27" s="23" t="n"/>
      <c r="J27" s="28">
        <f>IF(OR(H27="Fail",I27="Fail"),"Fail",IF(OR(H27="Blocked",I27="Blocked"),"Blocked",IF(AND(OR(H27="Pass",H27="N/A"),OR(I27="Pass",I27="N/A"),COUNTIF(H27:I27,"Pass")&gt;0),"Pass",IF(AND(H27="N/A",I27="N/A"),"N/A",IF(COUNTA(H27:I27)=0,"Not run","In progress")))))</f>
        <v/>
      </c>
      <c r="K27" s="25" t="n"/>
      <c r="L27" s="23" t="n"/>
      <c r="M27" s="25" t="n"/>
    </row>
    <row r="28">
      <c r="A28" s="21" t="inlineStr">
        <is>
          <t>MKT-25</t>
        </is>
      </c>
      <c r="B28" s="21" t="inlineStr">
        <is>
          <t>P2</t>
        </is>
      </c>
      <c r="C28" s="22" t="inlineStr">
        <is>
          <t>Visitor</t>
        </is>
      </c>
      <c r="D28" s="22" t="inlineStr">
        <is>
          <t>/demo</t>
        </is>
      </c>
      <c r="E28" s="22" t="inlineStr">
        <is>
          <t>Try-the-admin demo</t>
        </is>
      </c>
      <c r="F28" s="22" t="inlineStr">
        <is>
          <t>Use the demo button on the home page.</t>
        </is>
      </c>
      <c r="G28" s="22" t="inlineStr">
        <is>
          <t>A demo admin opens with sample data; changes do not affect real stores.</t>
        </is>
      </c>
      <c r="H28" s="23" t="n"/>
      <c r="I28" s="23" t="n"/>
      <c r="J28" s="24">
        <f>IF(OR(H28="Fail",I28="Fail"),"Fail",IF(OR(H28="Blocked",I28="Blocked"),"Blocked",IF(AND(OR(H28="Pass",H28="N/A"),OR(I28="Pass",I28="N/A"),COUNTIF(H28:I28,"Pass")&gt;0),"Pass",IF(AND(H28="N/A",I28="N/A"),"N/A",IF(COUNTA(H28:I28)=0,"Not run","In progress")))))</f>
        <v/>
      </c>
      <c r="K28" s="25" t="n"/>
      <c r="L28" s="23" t="n"/>
      <c r="M28" s="25" t="n"/>
    </row>
    <row r="29">
      <c r="A29" s="26" t="inlineStr">
        <is>
          <t>MKT-26</t>
        </is>
      </c>
      <c r="B29" s="26" t="inlineStr">
        <is>
          <t>P2</t>
        </is>
      </c>
      <c r="C29" s="27" t="inlineStr">
        <is>
          <t>Visitor</t>
        </is>
      </c>
      <c r="D29" s="27" t="inlineStr">
        <is>
          <t>/privacy, /terms</t>
        </is>
      </c>
      <c r="E29" s="27" t="inlineStr">
        <is>
          <t>Legal pages</t>
        </is>
      </c>
      <c r="F29" s="27" t="inlineStr">
        <is>
          <t>Open both.</t>
        </is>
      </c>
      <c r="G29" s="27" t="inlineStr">
        <is>
          <t>Text present, dates correct, links work.</t>
        </is>
      </c>
      <c r="H29" s="23" t="n"/>
      <c r="I29" s="23" t="n"/>
      <c r="J29" s="28">
        <f>IF(OR(H29="Fail",I29="Fail"),"Fail",IF(OR(H29="Blocked",I29="Blocked"),"Blocked",IF(AND(OR(H29="Pass",H29="N/A"),OR(I29="Pass",I29="N/A"),COUNTIF(H29:I29,"Pass")&gt;0),"Pass",IF(AND(H29="N/A",I29="N/A"),"N/A",IF(COUNTA(H29:I29)=0,"Not run","In progress")))))</f>
        <v/>
      </c>
      <c r="K29" s="25" t="n"/>
      <c r="L29" s="23" t="n"/>
      <c r="M29" s="25" t="n"/>
    </row>
    <row r="30">
      <c r="A30" s="21" t="inlineStr">
        <is>
          <t>MKT-27</t>
        </is>
      </c>
      <c r="B30" s="21" t="inlineStr">
        <is>
          <t>P2</t>
        </is>
      </c>
      <c r="C30" s="22" t="inlineStr">
        <is>
          <t>Search engine</t>
        </is>
      </c>
      <c r="D30" s="22" t="inlineStr">
        <is>
          <t>/robots.txt, /sitemap.xml</t>
        </is>
      </c>
      <c r="E30" s="22" t="inlineStr">
        <is>
          <t>SEO files</t>
        </is>
      </c>
      <c r="F30" s="22" t="inlineStr">
        <is>
          <t>Open both.</t>
        </is>
      </c>
      <c r="G30" s="22" t="inlineStr">
        <is>
          <t>Both load; sitemap lists the main pages.</t>
        </is>
      </c>
      <c r="H30" s="23" t="n"/>
      <c r="I30" s="23" t="n"/>
      <c r="J30" s="24">
        <f>IF(OR(H30="Fail",I30="Fail"),"Fail",IF(OR(H30="Blocked",I30="Blocked"),"Blocked",IF(AND(OR(H30="Pass",H30="N/A"),OR(I30="Pass",I30="N/A"),COUNTIF(H30:I30,"Pass")&gt;0),"Pass",IF(AND(H30="N/A",I30="N/A"),"N/A",IF(COUNTA(H30:I30)=0,"Not run","In progress")))))</f>
        <v/>
      </c>
      <c r="K30" s="25" t="n"/>
      <c r="L30" s="23" t="n"/>
      <c r="M30" s="25" t="n"/>
    </row>
    <row r="31">
      <c r="A31" s="26" t="inlineStr">
        <is>
          <t>MKT-28</t>
        </is>
      </c>
      <c r="B31" s="26" t="inlineStr">
        <is>
          <t>P2</t>
        </is>
      </c>
      <c r="C31" s="27" t="inlineStr">
        <is>
          <t>Visitor</t>
        </is>
      </c>
      <c r="D31" s="27" t="inlineStr">
        <is>
          <t>All pages</t>
        </is>
      </c>
      <c r="E31" s="27" t="inlineStr">
        <is>
          <t>Titles, descriptions, share image</t>
        </is>
      </c>
      <c r="F31" s="27" t="inlineStr">
        <is>
          <t>View source / share the link in WhatsApp or Facebook.</t>
        </is>
      </c>
      <c r="G31" s="27" t="inlineStr">
        <is>
          <t>Each page has a title and description; share card shows image.</t>
        </is>
      </c>
      <c r="H31" s="23" t="n"/>
      <c r="I31" s="23" t="n"/>
      <c r="J31" s="28">
        <f>IF(OR(H31="Fail",I31="Fail"),"Fail",IF(OR(H31="Blocked",I31="Blocked"),"Blocked",IF(AND(OR(H31="Pass",H31="N/A"),OR(I31="Pass",I31="N/A"),COUNTIF(H31:I31,"Pass")&gt;0),"Pass",IF(AND(H31="N/A",I31="N/A"),"N/A",IF(COUNTA(H31:I31)=0,"Not run","In progress")))))</f>
        <v/>
      </c>
      <c r="K31" s="25" t="n"/>
      <c r="L31" s="23" t="n"/>
      <c r="M31" s="25" t="n"/>
    </row>
    <row r="32">
      <c r="A32" s="21" t="inlineStr">
        <is>
          <t>MKT-29</t>
        </is>
      </c>
      <c r="B32" s="21" t="inlineStr">
        <is>
          <t>P3</t>
        </is>
      </c>
      <c r="C32" s="22" t="inlineStr">
        <is>
          <t>Visitor</t>
        </is>
      </c>
      <c r="D32" s="22" t="inlineStr">
        <is>
          <t>All pages</t>
        </is>
      </c>
      <c r="E32" s="22" t="inlineStr">
        <is>
          <t>Accessibility basics</t>
        </is>
      </c>
      <c r="F32" s="22" t="inlineStr">
        <is>
          <t>Tab through the home page; zoom to 200%.</t>
        </is>
      </c>
      <c r="G32" s="22" t="inlineStr">
        <is>
          <t>Focus visible, no content cut off.</t>
        </is>
      </c>
      <c r="H32" s="23" t="n"/>
      <c r="I32" s="23" t="n"/>
      <c r="J32" s="24">
        <f>IF(OR(H32="Fail",I32="Fail"),"Fail",IF(OR(H32="Blocked",I32="Blocked"),"Blocked",IF(AND(OR(H32="Pass",H32="N/A"),OR(I32="Pass",I32="N/A"),COUNTIF(H32:I32,"Pass")&gt;0),"Pass",IF(AND(H32="N/A",I32="N/A"),"N/A",IF(COUNTA(H32:I32)=0,"Not run","In progress")))))</f>
        <v/>
      </c>
      <c r="K32" s="25" t="n"/>
      <c r="L32" s="23" t="n"/>
      <c r="M32" s="25" t="n"/>
    </row>
  </sheetData>
  <autoFilter ref="A3:M32"/>
  <conditionalFormatting sqref="J4:J32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32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32">
    <cfRule type="cellIs" priority="6" operator="equal" dxfId="6">
      <formula>"P1"</formula>
    </cfRule>
  </conditionalFormatting>
  <dataValidations count="1">
    <dataValidation sqref="H4:I32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Storefront: browsing and product pages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STB-01</t>
        </is>
      </c>
      <c r="B4" s="21" t="inlineStr">
        <is>
          <t>P1</t>
        </is>
      </c>
      <c r="C4" s="22" t="inlineStr">
        <is>
          <t>Customer</t>
        </is>
      </c>
      <c r="D4" s="22" t="inlineStr">
        <is>
          <t>/</t>
        </is>
      </c>
      <c r="E4" s="22" t="inlineStr">
        <is>
          <t>Home page loads</t>
        </is>
      </c>
      <c r="F4" s="22" t="inlineStr">
        <is>
          <t>Open the store address.</t>
        </is>
      </c>
      <c r="G4" s="22" t="inlineStr">
        <is>
          <t>Hero, new arrivals, categories, trust strip show. Under 3 s on 4G.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STB-02</t>
        </is>
      </c>
      <c r="B5" s="26" t="inlineStr">
        <is>
          <t>P1</t>
        </is>
      </c>
      <c r="C5" s="27" t="inlineStr">
        <is>
          <t>Customer</t>
        </is>
      </c>
      <c r="D5" s="27" t="inlineStr">
        <is>
          <t>/</t>
        </is>
      </c>
      <c r="E5" s="27" t="inlineStr">
        <is>
          <t>Store identity</t>
        </is>
      </c>
      <c r="F5" s="27" t="inlineStr">
        <is>
          <t>Check logo/name, announcement bar, colours.</t>
        </is>
      </c>
      <c r="G5" s="27" t="inlineStr">
        <is>
          <t>Match Admin &gt; Settings &gt; Store details and Store design.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STB-03</t>
        </is>
      </c>
      <c r="B6" s="21" t="inlineStr">
        <is>
          <t>P2</t>
        </is>
      </c>
      <c r="C6" s="22" t="inlineStr">
        <is>
          <t>Customer</t>
        </is>
      </c>
      <c r="D6" s="22" t="inlineStr">
        <is>
          <t>/</t>
        </is>
      </c>
      <c r="E6" s="22" t="inlineStr">
        <is>
          <t>Language switch</t>
        </is>
      </c>
      <c r="F6" s="22" t="inlineStr">
        <is>
          <t>Switch English &lt;-&gt; Bangla.</t>
        </is>
      </c>
      <c r="G6" s="22" t="inlineStr">
        <is>
          <t>All page text and digits switch; choice is remembered after reload.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STB-04</t>
        </is>
      </c>
      <c r="B7" s="26" t="inlineStr">
        <is>
          <t>P2</t>
        </is>
      </c>
      <c r="C7" s="27" t="inlineStr">
        <is>
          <t>Customer</t>
        </is>
      </c>
      <c r="D7" s="27" t="inlineStr">
        <is>
          <t>/</t>
        </is>
      </c>
      <c r="E7" s="27" t="inlineStr">
        <is>
          <t>Header on phone and desktop</t>
        </is>
      </c>
      <c r="F7" s="27" t="inlineStr">
        <is>
          <t>Check the menu button (phone) and nav (desktop), search, account and cart icons.</t>
        </is>
      </c>
      <c r="G7" s="27" t="inlineStr">
        <is>
          <t>All reachable; cart count updates.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STB-05</t>
        </is>
      </c>
      <c r="B8" s="21" t="inlineStr">
        <is>
          <t>P2</t>
        </is>
      </c>
      <c r="C8" s="22" t="inlineStr">
        <is>
          <t>Customer</t>
        </is>
      </c>
      <c r="D8" s="22" t="inlineStr">
        <is>
          <t>Footer</t>
        </is>
      </c>
      <c r="E8" s="22" t="inlineStr">
        <is>
          <t>Footer content</t>
        </is>
      </c>
      <c r="F8" s="22" t="inlineStr">
        <is>
          <t>Check phone, WhatsApp, Facebook, pages, Contact link, platform credit.</t>
        </is>
      </c>
      <c r="G8" s="22" t="inlineStr">
        <is>
          <t>Links work; Contact opens /contact; no overlap with WhatsApp button.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STB-06</t>
        </is>
      </c>
      <c r="B9" s="26" t="inlineStr">
        <is>
          <t>P2</t>
        </is>
      </c>
      <c r="C9" s="27" t="inlineStr">
        <is>
          <t>Customer</t>
        </is>
      </c>
      <c r="D9" s="27" t="inlineStr">
        <is>
          <t>WhatsApp button</t>
        </is>
      </c>
      <c r="E9" s="27" t="inlineStr">
        <is>
          <t>Floating WhatsApp button</t>
        </is>
      </c>
      <c r="F9" s="27" t="inlineStr">
        <is>
          <t>Tap it (if the store has a number).</t>
        </is>
      </c>
      <c r="G9" s="27" t="inlineStr">
        <is>
          <t>Opens WhatsApp chat with the store; text readable (dark on green).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STB-07</t>
        </is>
      </c>
      <c r="B10" s="21" t="inlineStr">
        <is>
          <t>P1</t>
        </is>
      </c>
      <c r="C10" s="22" t="inlineStr">
        <is>
          <t>Customer</t>
        </is>
      </c>
      <c r="D10" s="22" t="inlineStr">
        <is>
          <t>/c/&lt;category&gt;</t>
        </is>
      </c>
      <c r="E10" s="22" t="inlineStr">
        <is>
          <t>Category page</t>
        </is>
      </c>
      <c r="F10" s="22" t="inlineStr">
        <is>
          <t>Open a category from the menu.</t>
        </is>
      </c>
      <c r="G10" s="22" t="inlineStr">
        <is>
          <t>Only that category's products (and its sub-categories') show; counts right.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STB-08</t>
        </is>
      </c>
      <c r="B11" s="26" t="inlineStr">
        <is>
          <t>P2</t>
        </is>
      </c>
      <c r="C11" s="27" t="inlineStr">
        <is>
          <t>Customer</t>
        </is>
      </c>
      <c r="D11" s="27" t="inlineStr">
        <is>
          <t>/c/&lt;category&gt;</t>
        </is>
      </c>
      <c r="E11" s="27" t="inlineStr">
        <is>
          <t>Sorting / paging</t>
        </is>
      </c>
      <c r="F11" s="27" t="inlineStr">
        <is>
          <t>Use any sort or page controls.</t>
        </is>
      </c>
      <c r="G11" s="27" t="inlineStr">
        <is>
          <t>Order changes correctly; page 2 works.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STB-09</t>
        </is>
      </c>
      <c r="B12" s="21" t="inlineStr">
        <is>
          <t>P1</t>
        </is>
      </c>
      <c r="C12" s="22" t="inlineStr">
        <is>
          <t>Customer</t>
        </is>
      </c>
      <c r="D12" s="22" t="inlineStr">
        <is>
          <t>/search</t>
        </is>
      </c>
      <c r="E12" s="22" t="inlineStr">
        <is>
          <t>Search finds products</t>
        </is>
      </c>
      <c r="F12" s="22" t="inlineStr">
        <is>
          <t>Search a product name, a Bangla name and a partial word.</t>
        </is>
      </c>
      <c r="G12" s="22" t="inlineStr">
        <is>
          <t>Matching products show. 'No results' message for nonsense.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STB-10</t>
        </is>
      </c>
      <c r="B13" s="26" t="inlineStr">
        <is>
          <t>P2</t>
        </is>
      </c>
      <c r="C13" s="27" t="inlineStr">
        <is>
          <t>Customer</t>
        </is>
      </c>
      <c r="D13" s="27" t="inlineStr">
        <is>
          <t>/search</t>
        </is>
      </c>
      <c r="E13" s="27" t="inlineStr">
        <is>
          <t>Special characters</t>
        </is>
      </c>
      <c r="F13" s="27" t="inlineStr">
        <is>
          <t>Search for %, _, quotes, &lt;script&gt;.</t>
        </is>
      </c>
      <c r="G13" s="27" t="inlineStr">
        <is>
          <t>No error, no script runs, no wildcard behaviour.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STB-11</t>
        </is>
      </c>
      <c r="B14" s="21" t="inlineStr">
        <is>
          <t>P1</t>
        </is>
      </c>
      <c r="C14" s="22" t="inlineStr">
        <is>
          <t>Customer</t>
        </is>
      </c>
      <c r="D14" s="22" t="inlineStr">
        <is>
          <t>/products/&lt;slug&gt;</t>
        </is>
      </c>
      <c r="E14" s="22" t="inlineStr">
        <is>
          <t>Product page content</t>
        </is>
      </c>
      <c r="F14" s="22" t="inlineStr">
        <is>
          <t>Open a product.</t>
        </is>
      </c>
      <c r="G14" s="22" t="inlineStr">
        <is>
          <t>Title, price, compare-at price, photos, description, size/option picker, trust points show.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STB-12</t>
        </is>
      </c>
      <c r="B15" s="26" t="inlineStr">
        <is>
          <t>P1</t>
        </is>
      </c>
      <c r="C15" s="27" t="inlineStr">
        <is>
          <t>Customer</t>
        </is>
      </c>
      <c r="D15" s="27" t="inlineStr">
        <is>
          <t>/products/&lt;slug&gt;</t>
        </is>
      </c>
      <c r="E15" s="27" t="inlineStr">
        <is>
          <t>Photo gallery</t>
        </is>
      </c>
      <c r="F15" s="27" t="inlineStr">
        <is>
          <t>Swipe/click photos; zoom.</t>
        </is>
      </c>
      <c r="G15" s="27" t="inlineStr">
        <is>
          <t>All photos load (AVIF/WebP), keyboard scrollable, no layout jump.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STB-13</t>
        </is>
      </c>
      <c r="B16" s="21" t="inlineStr">
        <is>
          <t>P1</t>
        </is>
      </c>
      <c r="C16" s="22" t="inlineStr">
        <is>
          <t>Customer</t>
        </is>
      </c>
      <c r="D16" s="22" t="inlineStr">
        <is>
          <t>/products/&lt;slug&gt;</t>
        </is>
      </c>
      <c r="E16" s="22" t="inlineStr">
        <is>
          <t>Size picker and price</t>
        </is>
      </c>
      <c r="F16" s="22" t="inlineStr">
        <is>
          <t>Choose each size.</t>
        </is>
      </c>
      <c r="G16" s="22" t="inlineStr">
        <is>
          <t>Selected size highlights; price follows variant; sold-out sizes are disabled.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STB-14</t>
        </is>
      </c>
      <c r="B17" s="26" t="inlineStr">
        <is>
          <t>P1</t>
        </is>
      </c>
      <c r="C17" s="27" t="inlineStr">
        <is>
          <t>Customer</t>
        </is>
      </c>
      <c r="D17" s="27" t="inlineStr">
        <is>
          <t>/products/&lt;slug&gt;</t>
        </is>
      </c>
      <c r="E17" s="27" t="inlineStr">
        <is>
          <t>Quantity limits</t>
        </is>
      </c>
      <c r="F17" s="27" t="inlineStr">
        <is>
          <t>Raise quantity above stock.</t>
        </is>
      </c>
      <c r="G17" s="27" t="inlineStr">
        <is>
          <t>Cannot go above stock; 'only N left' shows when low.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STB-15</t>
        </is>
      </c>
      <c r="B18" s="21" t="inlineStr">
        <is>
          <t>P1</t>
        </is>
      </c>
      <c r="C18" s="22" t="inlineStr">
        <is>
          <t>Customer</t>
        </is>
      </c>
      <c r="D18" s="22" t="inlineStr">
        <is>
          <t>/products/&lt;slug&gt;</t>
        </is>
      </c>
      <c r="E18" s="22" t="inlineStr">
        <is>
          <t>Add to cart</t>
        </is>
      </c>
      <c r="F18" s="22" t="inlineStr">
        <is>
          <t>Press Add to cart.</t>
        </is>
      </c>
      <c r="G18" s="22" t="inlineStr">
        <is>
          <t>Cart count +1; toast with View cart; sticky bar stays usable on phone.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STB-16</t>
        </is>
      </c>
      <c r="B19" s="26" t="inlineStr">
        <is>
          <t>P1</t>
        </is>
      </c>
      <c r="C19" s="27" t="inlineStr">
        <is>
          <t>Customer</t>
        </is>
      </c>
      <c r="D19" s="27" t="inlineStr">
        <is>
          <t>/products/&lt;slug&gt;</t>
        </is>
      </c>
      <c r="E19" s="27" t="inlineStr">
        <is>
          <t>Buy now</t>
        </is>
      </c>
      <c r="F19" s="27" t="inlineStr">
        <is>
          <t>Press Buy now.</t>
        </is>
      </c>
      <c r="G19" s="27" t="inlineStr">
        <is>
          <t>Goes straight to checkout with the item.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STB-17</t>
        </is>
      </c>
      <c r="B20" s="21" t="inlineStr">
        <is>
          <t>P1</t>
        </is>
      </c>
      <c r="C20" s="22" t="inlineStr">
        <is>
          <t>Customer</t>
        </is>
      </c>
      <c r="D20" s="22" t="inlineStr">
        <is>
          <t>/products/&lt;slug&gt;</t>
        </is>
      </c>
      <c r="E20" s="22" t="inlineStr">
        <is>
          <t>Sold-out product</t>
        </is>
      </c>
      <c r="F20" s="22" t="inlineStr">
        <is>
          <t>Open a product with all sizes at 0 stock.</t>
        </is>
      </c>
      <c r="G20" s="22" t="inlineStr">
        <is>
          <t>Button says Sold out and is disabled; 'Tell me when it is back' form shows.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STB-18</t>
        </is>
      </c>
      <c r="B21" s="26" t="inlineStr">
        <is>
          <t>P1</t>
        </is>
      </c>
      <c r="C21" s="27" t="inlineStr">
        <is>
          <t>Customer</t>
        </is>
      </c>
      <c r="D21" s="27" t="inlineStr">
        <is>
          <t>/products/&lt;slug&gt;</t>
        </is>
      </c>
      <c r="E21" s="27" t="inlineStr">
        <is>
          <t>Back-in-stock request</t>
        </is>
      </c>
      <c r="F21" s="27" t="inlineStr">
        <is>
          <t>Enter a valid number; press the button.</t>
        </is>
      </c>
      <c r="G21" s="27" t="inlineStr">
        <is>
          <t>'We will send you an SMS' message. Same number again says already on the list.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STB-19</t>
        </is>
      </c>
      <c r="B22" s="21" t="inlineStr">
        <is>
          <t>P2</t>
        </is>
      </c>
      <c r="C22" s="22" t="inlineStr">
        <is>
          <t>Customer</t>
        </is>
      </c>
      <c r="D22" s="22" t="inlineStr">
        <is>
          <t>/products/&lt;slug&gt;</t>
        </is>
      </c>
      <c r="E22" s="22" t="inlineStr">
        <is>
          <t>Back-in-stock bad number</t>
        </is>
      </c>
      <c r="F22" s="22" t="inlineStr">
        <is>
          <t>Enter abc or 123.</t>
        </is>
      </c>
      <c r="G22" s="22" t="inlineStr">
        <is>
          <t>Plain error; nothing saved.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STB-20</t>
        </is>
      </c>
      <c r="B23" s="26" t="inlineStr">
        <is>
          <t>P2</t>
        </is>
      </c>
      <c r="C23" s="27" t="inlineStr">
        <is>
          <t>Customer</t>
        </is>
      </c>
      <c r="D23" s="27" t="inlineStr">
        <is>
          <t>/products/&lt;slug&gt;</t>
        </is>
      </c>
      <c r="E23" s="27" t="inlineStr">
        <is>
          <t>Related items</t>
        </is>
      </c>
      <c r="F23" s="27" t="inlineStr">
        <is>
          <t>Scroll to 'Goes well with'.</t>
        </is>
      </c>
      <c r="G23" s="27" t="inlineStr">
        <is>
          <t>Related products show and open.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  <row r="24">
      <c r="A24" s="21" t="inlineStr">
        <is>
          <t>STB-21</t>
        </is>
      </c>
      <c r="B24" s="21" t="inlineStr">
        <is>
          <t>P2</t>
        </is>
      </c>
      <c r="C24" s="22" t="inlineStr">
        <is>
          <t>Customer</t>
        </is>
      </c>
      <c r="D24" s="22" t="inlineStr">
        <is>
          <t>/products/&lt;slug&gt;</t>
        </is>
      </c>
      <c r="E24" s="22" t="inlineStr">
        <is>
          <t>Reviews</t>
        </is>
      </c>
      <c r="F24" s="22" t="inlineStr">
        <is>
          <t>Check reviews list and rating.</t>
        </is>
      </c>
      <c r="G24" s="22" t="inlineStr">
        <is>
          <t>Only published reviews; averages right.</t>
        </is>
      </c>
      <c r="H24" s="23" t="n"/>
      <c r="I24" s="23" t="n"/>
      <c r="J24" s="24">
        <f>IF(OR(H24="Fail",I24="Fail"),"Fail",IF(OR(H24="Blocked",I24="Blocked"),"Blocked",IF(AND(OR(H24="Pass",H24="N/A"),OR(I24="Pass",I24="N/A"),COUNTIF(H24:I24,"Pass")&gt;0),"Pass",IF(AND(H24="N/A",I24="N/A"),"N/A",IF(COUNTA(H24:I24)=0,"Not run","In progress")))))</f>
        <v/>
      </c>
      <c r="K24" s="25" t="n"/>
      <c r="L24" s="23" t="n"/>
      <c r="M24" s="25" t="n"/>
    </row>
    <row r="25">
      <c r="A25" s="26" t="inlineStr">
        <is>
          <t>STB-22</t>
        </is>
      </c>
      <c r="B25" s="26" t="inlineStr">
        <is>
          <t>P2</t>
        </is>
      </c>
      <c r="C25" s="27" t="inlineStr">
        <is>
          <t>Customer</t>
        </is>
      </c>
      <c r="D25" s="27" t="inlineStr">
        <is>
          <t>/products/&lt;slug&gt;</t>
        </is>
      </c>
      <c r="E25" s="27" t="inlineStr">
        <is>
          <t>Description is safe</t>
        </is>
      </c>
      <c r="F25" s="27" t="inlineStr">
        <is>
          <t>Product with bold, list, link in description.</t>
        </is>
      </c>
      <c r="G25" s="27" t="inlineStr">
        <is>
          <t>Formatting works; no scripts or odd styles.</t>
        </is>
      </c>
      <c r="H25" s="23" t="n"/>
      <c r="I25" s="23" t="n"/>
      <c r="J25" s="28">
        <f>IF(OR(H25="Fail",I25="Fail"),"Fail",IF(OR(H25="Blocked",I25="Blocked"),"Blocked",IF(AND(OR(H25="Pass",H25="N/A"),OR(I25="Pass",I25="N/A"),COUNTIF(H25:I25,"Pass")&gt;0),"Pass",IF(AND(H25="N/A",I25="N/A"),"N/A",IF(COUNTA(H25:I25)=0,"Not run","In progress")))))</f>
        <v/>
      </c>
      <c r="K25" s="25" t="n"/>
      <c r="L25" s="23" t="n"/>
      <c r="M25" s="25" t="n"/>
    </row>
    <row r="26">
      <c r="A26" s="21" t="inlineStr">
        <is>
          <t>STB-23</t>
        </is>
      </c>
      <c r="B26" s="21" t="inlineStr">
        <is>
          <t>P2</t>
        </is>
      </c>
      <c r="C26" s="22" t="inlineStr">
        <is>
          <t>Customer</t>
        </is>
      </c>
      <c r="D26" s="22" t="inlineStr">
        <is>
          <t>/products/&lt;slug&gt;</t>
        </is>
      </c>
      <c r="E26" s="22" t="inlineStr">
        <is>
          <t>SEO and share</t>
        </is>
      </c>
      <c r="F26" s="22" t="inlineStr">
        <is>
          <t>View source; share link.</t>
        </is>
      </c>
      <c r="G26" s="22" t="inlineStr">
        <is>
          <t>Title, description, OG image, price schema (JSON-LD) present.</t>
        </is>
      </c>
      <c r="H26" s="23" t="n"/>
      <c r="I26" s="23" t="n"/>
      <c r="J26" s="24">
        <f>IF(OR(H26="Fail",I26="Fail"),"Fail",IF(OR(H26="Blocked",I26="Blocked"),"Blocked",IF(AND(OR(H26="Pass",H26="N/A"),OR(I26="Pass",I26="N/A"),COUNTIF(H26:I26,"Pass")&gt;0),"Pass",IF(AND(H26="N/A",I26="N/A"),"N/A",IF(COUNTA(H26:I26)=0,"Not run","In progress")))))</f>
        <v/>
      </c>
      <c r="K26" s="25" t="n"/>
      <c r="L26" s="23" t="n"/>
      <c r="M26" s="25" t="n"/>
    </row>
    <row r="27">
      <c r="A27" s="26" t="inlineStr">
        <is>
          <t>STB-24</t>
        </is>
      </c>
      <c r="B27" s="26" t="inlineStr">
        <is>
          <t>P3</t>
        </is>
      </c>
      <c r="C27" s="27" t="inlineStr">
        <is>
          <t>Customer</t>
        </is>
      </c>
      <c r="D27" s="27" t="inlineStr">
        <is>
          <t>/products/&lt;slug&gt;</t>
        </is>
      </c>
      <c r="E27" s="27" t="inlineStr">
        <is>
          <t>Size guide</t>
        </is>
      </c>
      <c r="F27" s="27" t="inlineStr">
        <is>
          <t>Open size guide if shown.</t>
        </is>
      </c>
      <c r="G27" s="27" t="inlineStr">
        <is>
          <t>Opens, readable.</t>
        </is>
      </c>
      <c r="H27" s="23" t="n"/>
      <c r="I27" s="23" t="n"/>
      <c r="J27" s="28">
        <f>IF(OR(H27="Fail",I27="Fail"),"Fail",IF(OR(H27="Blocked",I27="Blocked"),"Blocked",IF(AND(OR(H27="Pass",H27="N/A"),OR(I27="Pass",I27="N/A"),COUNTIF(H27:I27,"Pass")&gt;0),"Pass",IF(AND(H27="N/A",I27="N/A"),"N/A",IF(COUNTA(H27:I27)=0,"Not run","In progress")))))</f>
        <v/>
      </c>
      <c r="K27" s="25" t="n"/>
      <c r="L27" s="23" t="n"/>
      <c r="M27" s="25" t="n"/>
    </row>
    <row r="28">
      <c r="A28" s="21" t="inlineStr">
        <is>
          <t>STB-25</t>
        </is>
      </c>
      <c r="B28" s="21" t="inlineStr">
        <is>
          <t>P2</t>
        </is>
      </c>
      <c r="C28" s="22" t="inlineStr">
        <is>
          <t>Customer</t>
        </is>
      </c>
      <c r="D28" s="22" t="inlineStr">
        <is>
          <t>Wrong address</t>
        </is>
      </c>
      <c r="E28" s="22" t="inlineStr">
        <is>
          <t>404 pages</t>
        </is>
      </c>
      <c r="F28" s="22" t="inlineStr">
        <is>
          <t>Open /products/does-not-exist and /xyz.</t>
        </is>
      </c>
      <c r="G28" s="22" t="inlineStr">
        <is>
          <t>Friendly 404 inside the store design.</t>
        </is>
      </c>
      <c r="H28" s="23" t="n"/>
      <c r="I28" s="23" t="n"/>
      <c r="J28" s="24">
        <f>IF(OR(H28="Fail",I28="Fail"),"Fail",IF(OR(H28="Blocked",I28="Blocked"),"Blocked",IF(AND(OR(H28="Pass",H28="N/A"),OR(I28="Pass",I28="N/A"),COUNTIF(H28:I28,"Pass")&gt;0),"Pass",IF(AND(H28="N/A",I28="N/A"),"N/A",IF(COUNTA(H28:I28)=0,"Not run","In progress")))))</f>
        <v/>
      </c>
      <c r="K28" s="25" t="n"/>
      <c r="L28" s="23" t="n"/>
      <c r="M28" s="25" t="n"/>
    </row>
    <row r="29">
      <c r="A29" s="26" t="inlineStr">
        <is>
          <t>STB-26</t>
        </is>
      </c>
      <c r="B29" s="26" t="inlineStr">
        <is>
          <t>P2</t>
        </is>
      </c>
      <c r="C29" s="27" t="inlineStr">
        <is>
          <t>Customer</t>
        </is>
      </c>
      <c r="D29" s="27" t="inlineStr">
        <is>
          <t>/blog, /p/&lt;page&gt;</t>
        </is>
      </c>
      <c r="E29" s="27" t="inlineStr">
        <is>
          <t>Blog and content pages</t>
        </is>
      </c>
      <c r="F29" s="27" t="inlineStr">
        <is>
          <t>Open the blog and a content page.</t>
        </is>
      </c>
      <c r="G29" s="27" t="inlineStr">
        <is>
          <t>Published only; scheduled-for-later posts not visible.</t>
        </is>
      </c>
      <c r="H29" s="23" t="n"/>
      <c r="I29" s="23" t="n"/>
      <c r="J29" s="28">
        <f>IF(OR(H29="Fail",I29="Fail"),"Fail",IF(OR(H29="Blocked",I29="Blocked"),"Blocked",IF(AND(OR(H29="Pass",H29="N/A"),OR(I29="Pass",I29="N/A"),COUNTIF(H29:I29,"Pass")&gt;0),"Pass",IF(AND(H29="N/A",I29="N/A"),"N/A",IF(COUNTA(H29:I29)=0,"Not run","In progress")))))</f>
        <v/>
      </c>
      <c r="K29" s="25" t="n"/>
      <c r="L29" s="23" t="n"/>
      <c r="M29" s="25" t="n"/>
    </row>
    <row r="30">
      <c r="A30" s="21" t="inlineStr">
        <is>
          <t>STB-27</t>
        </is>
      </c>
      <c r="B30" s="21" t="inlineStr">
        <is>
          <t>P2</t>
        </is>
      </c>
      <c r="C30" s="22" t="inlineStr">
        <is>
          <t>Customer</t>
        </is>
      </c>
      <c r="D30" s="22" t="inlineStr">
        <is>
          <t>Paused store</t>
        </is>
      </c>
      <c r="E30" s="22" t="inlineStr">
        <is>
          <t>Orders paused notice</t>
        </is>
      </c>
      <c r="F30" s="22" t="inlineStr">
        <is>
          <t>Admin &gt; Settings &gt; Store &gt; Pause store; reload store.</t>
        </is>
      </c>
      <c r="G30" s="22" t="inlineStr">
        <is>
          <t>Short-break notice shown on checkout; shoppers can still browse.</t>
        </is>
      </c>
      <c r="H30" s="23" t="n"/>
      <c r="I30" s="23" t="n"/>
      <c r="J30" s="24">
        <f>IF(OR(H30="Fail",I30="Fail"),"Fail",IF(OR(H30="Blocked",I30="Blocked"),"Blocked",IF(AND(OR(H30="Pass",H30="N/A"),OR(I30="Pass",I30="N/A"),COUNTIF(H30:I30,"Pass")&gt;0),"Pass",IF(AND(H30="N/A",I30="N/A"),"N/A",IF(COUNTA(H30:I30)=0,"Not run","In progress")))))</f>
        <v/>
      </c>
      <c r="K30" s="25" t="n"/>
      <c r="L30" s="23" t="n"/>
      <c r="M30" s="25" t="n"/>
    </row>
    <row r="31">
      <c r="A31" s="26" t="inlineStr">
        <is>
          <t>STB-28</t>
        </is>
      </c>
      <c r="B31" s="26" t="inlineStr">
        <is>
          <t>P2</t>
        </is>
      </c>
      <c r="C31" s="27" t="inlineStr">
        <is>
          <t>Customer</t>
        </is>
      </c>
      <c r="D31" s="27" t="inlineStr">
        <is>
          <t>Not found store</t>
        </is>
      </c>
      <c r="E31" s="27" t="inlineStr">
        <is>
          <t>Unknown store address</t>
        </is>
      </c>
      <c r="F31" s="27" t="inlineStr">
        <is>
          <t>Open an address with a store name that does not exist.</t>
        </is>
      </c>
      <c r="G31" s="27" t="inlineStr">
        <is>
          <t>'Unknown store' page, not an error.</t>
        </is>
      </c>
      <c r="H31" s="23" t="n"/>
      <c r="I31" s="23" t="n"/>
      <c r="J31" s="28">
        <f>IF(OR(H31="Fail",I31="Fail"),"Fail",IF(OR(H31="Blocked",I31="Blocked"),"Blocked",IF(AND(OR(H31="Pass",H31="N/A"),OR(I31="Pass",I31="N/A"),COUNTIF(H31:I31,"Pass")&gt;0),"Pass",IF(AND(H31="N/A",I31="N/A"),"N/A",IF(COUNTA(H31:I31)=0,"Not run","In progress")))))</f>
        <v/>
      </c>
      <c r="K31" s="25" t="n"/>
      <c r="L31" s="23" t="n"/>
      <c r="M31" s="25" t="n"/>
    </row>
    <row r="32">
      <c r="A32" s="21" t="inlineStr">
        <is>
          <t>STB-29</t>
        </is>
      </c>
      <c r="B32" s="21" t="inlineStr">
        <is>
          <t>P2</t>
        </is>
      </c>
      <c r="C32" s="22" t="inlineStr">
        <is>
          <t>Customer</t>
        </is>
      </c>
      <c r="D32" s="22" t="inlineStr">
        <is>
          <t>/robots.txt, /sitemap.xml</t>
        </is>
      </c>
      <c r="E32" s="22" t="inlineStr">
        <is>
          <t>Per-store SEO files</t>
        </is>
      </c>
      <c r="F32" s="22" t="inlineStr">
        <is>
          <t>Open both on the store.</t>
        </is>
      </c>
      <c r="G32" s="22" t="inlineStr">
        <is>
          <t>Sitemap lists products, categories, pages of this store only.</t>
        </is>
      </c>
      <c r="H32" s="23" t="n"/>
      <c r="I32" s="23" t="n"/>
      <c r="J32" s="24">
        <f>IF(OR(H32="Fail",I32="Fail"),"Fail",IF(OR(H32="Blocked",I32="Blocked"),"Blocked",IF(AND(OR(H32="Pass",H32="N/A"),OR(I32="Pass",I32="N/A"),COUNTIF(H32:I32,"Pass")&gt;0),"Pass",IF(AND(H32="N/A",I32="N/A"),"N/A",IF(COUNTA(H32:I32)=0,"Not run","In progress")))))</f>
        <v/>
      </c>
      <c r="K32" s="25" t="n"/>
      <c r="L32" s="23" t="n"/>
      <c r="M32" s="25" t="n"/>
    </row>
    <row r="33">
      <c r="A33" s="26" t="inlineStr">
        <is>
          <t>STB-30</t>
        </is>
      </c>
      <c r="B33" s="26" t="inlineStr">
        <is>
          <t>P2</t>
        </is>
      </c>
      <c r="C33" s="27" t="inlineStr">
        <is>
          <t>Customer</t>
        </is>
      </c>
      <c r="D33" s="27" t="inlineStr">
        <is>
          <t>/api/catalog/facebook</t>
        </is>
      </c>
      <c r="E33" s="27" t="inlineStr">
        <is>
          <t>Product feed</t>
        </is>
      </c>
      <c r="F33" s="27" t="inlineStr">
        <is>
          <t>Open the feed on the store address.</t>
        </is>
      </c>
      <c r="G33" s="27" t="inlineStr">
        <is>
          <t>XML with published products, prices in BDT, correct links and image URLs.</t>
        </is>
      </c>
      <c r="H33" s="23" t="n"/>
      <c r="I33" s="23" t="n"/>
      <c r="J33" s="28">
        <f>IF(OR(H33="Fail",I33="Fail"),"Fail",IF(OR(H33="Blocked",I33="Blocked"),"Blocked",IF(AND(OR(H33="Pass",H33="N/A"),OR(I33="Pass",I33="N/A"),COUNTIF(H33:I33,"Pass")&gt;0),"Pass",IF(AND(H33="N/A",I33="N/A"),"N/A",IF(COUNTA(H33:I33)=0,"Not run","In progress")))))</f>
        <v/>
      </c>
      <c r="K33" s="25" t="n"/>
      <c r="L33" s="23" t="n"/>
      <c r="M33" s="25" t="n"/>
    </row>
    <row r="34">
      <c r="A34" s="21" t="inlineStr">
        <is>
          <t>STB-31</t>
        </is>
      </c>
      <c r="B34" s="21" t="inlineStr">
        <is>
          <t>P2</t>
        </is>
      </c>
      <c r="C34" s="22" t="inlineStr">
        <is>
          <t>Customer</t>
        </is>
      </c>
      <c r="D34" s="22" t="inlineStr">
        <is>
          <t>/l/&lt;landing&gt;</t>
        </is>
      </c>
      <c r="E34" s="22" t="inlineStr">
        <is>
          <t>Landing page</t>
        </is>
      </c>
      <c r="F34" s="22" t="inlineStr">
        <is>
          <t>Open a published landing page; order from it.</t>
        </is>
      </c>
      <c r="G34" s="22" t="inlineStr">
        <is>
          <t>Page renders; order form works; offers/bundle prices right; order shows the landing source in admin.</t>
        </is>
      </c>
      <c r="H34" s="23" t="n"/>
      <c r="I34" s="23" t="n"/>
      <c r="J34" s="24">
        <f>IF(OR(H34="Fail",I34="Fail"),"Fail",IF(OR(H34="Blocked",I34="Blocked"),"Blocked",IF(AND(OR(H34="Pass",H34="N/A"),OR(I34="Pass",I34="N/A"),COUNTIF(H34:I34,"Pass")&gt;0),"Pass",IF(AND(H34="N/A",I34="N/A"),"N/A",IF(COUNTA(H34:I34)=0,"Not run","In progress")))))</f>
        <v/>
      </c>
      <c r="K34" s="25" t="n"/>
      <c r="L34" s="23" t="n"/>
      <c r="M34" s="25" t="n"/>
    </row>
    <row r="35">
      <c r="A35" s="26" t="inlineStr">
        <is>
          <t>STB-32</t>
        </is>
      </c>
      <c r="B35" s="26" t="inlineStr">
        <is>
          <t>P3</t>
        </is>
      </c>
      <c r="C35" s="27" t="inlineStr">
        <is>
          <t>Customer</t>
        </is>
      </c>
      <c r="D35" s="27" t="inlineStr">
        <is>
          <t>Offline</t>
        </is>
      </c>
      <c r="E35" s="27" t="inlineStr">
        <is>
          <t>Offline page</t>
        </is>
      </c>
      <c r="F35" s="27" t="inlineStr">
        <is>
          <t>Turn off network; reload a visited page.</t>
        </is>
      </c>
      <c r="G35" s="27" t="inlineStr">
        <is>
          <t>Offline page shows, not a browser error.</t>
        </is>
      </c>
      <c r="H35" s="23" t="n"/>
      <c r="I35" s="23" t="n"/>
      <c r="J35" s="28">
        <f>IF(OR(H35="Fail",I35="Fail"),"Fail",IF(OR(H35="Blocked",I35="Blocked"),"Blocked",IF(AND(OR(H35="Pass",H35="N/A"),OR(I35="Pass",I35="N/A"),COUNTIF(H35:I35,"Pass")&gt;0),"Pass",IF(AND(H35="N/A",I35="N/A"),"N/A",IF(COUNTA(H35:I35)=0,"Not run","In progress")))))</f>
        <v/>
      </c>
      <c r="K35" s="25" t="n"/>
      <c r="L35" s="23" t="n"/>
      <c r="M35" s="25" t="n"/>
    </row>
  </sheetData>
  <autoFilter ref="A3:M35"/>
  <conditionalFormatting sqref="J4:J35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35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35">
    <cfRule type="cellIs" priority="6" operator="equal" dxfId="6">
      <formula>"P1"</formula>
    </cfRule>
  </conditionalFormatting>
  <dataValidations count="1">
    <dataValidation sqref="H4:I35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Storefront: cart, checkout and payment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CHK-01</t>
        </is>
      </c>
      <c r="B4" s="21" t="inlineStr">
        <is>
          <t>P1</t>
        </is>
      </c>
      <c r="C4" s="22" t="inlineStr">
        <is>
          <t>Customer</t>
        </is>
      </c>
      <c r="D4" s="22" t="inlineStr">
        <is>
          <t>/cart</t>
        </is>
      </c>
      <c r="E4" s="22" t="inlineStr">
        <is>
          <t>Cart shows items</t>
        </is>
      </c>
      <c r="F4" s="22" t="inlineStr">
        <is>
          <t>Add 2 products; open /cart.</t>
        </is>
      </c>
      <c r="G4" s="22" t="inlineStr">
        <is>
          <t>Lines, variants, quantities, line totals and subtotal right.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CHK-02</t>
        </is>
      </c>
      <c r="B5" s="26" t="inlineStr">
        <is>
          <t>P1</t>
        </is>
      </c>
      <c r="C5" s="27" t="inlineStr">
        <is>
          <t>Customer</t>
        </is>
      </c>
      <c r="D5" s="27" t="inlineStr">
        <is>
          <t>/cart</t>
        </is>
      </c>
      <c r="E5" s="27" t="inlineStr">
        <is>
          <t>Change quantity / remove</t>
        </is>
      </c>
      <c r="F5" s="27" t="inlineStr">
        <is>
          <t>Use +/-; remove an item.</t>
        </is>
      </c>
      <c r="G5" s="27" t="inlineStr">
        <is>
          <t>Totals update; empty cart message when none left.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CHK-03</t>
        </is>
      </c>
      <c r="B6" s="21" t="inlineStr">
        <is>
          <t>P1</t>
        </is>
      </c>
      <c r="C6" s="22" t="inlineStr">
        <is>
          <t>Customer</t>
        </is>
      </c>
      <c r="D6" s="22" t="inlineStr">
        <is>
          <t>/cart</t>
        </is>
      </c>
      <c r="E6" s="22" t="inlineStr">
        <is>
          <t>Cart survives reload</t>
        </is>
      </c>
      <c r="F6" s="22" t="inlineStr">
        <is>
          <t>Reload; close and reopen the browser.</t>
        </is>
      </c>
      <c r="G6" s="22" t="inlineStr">
        <is>
          <t>Cart is kept (stored in the browser).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CHK-04</t>
        </is>
      </c>
      <c r="B7" s="26" t="inlineStr">
        <is>
          <t>P1</t>
        </is>
      </c>
      <c r="C7" s="27" t="inlineStr">
        <is>
          <t>Customer</t>
        </is>
      </c>
      <c r="D7" s="27" t="inlineStr">
        <is>
          <t>/cart</t>
        </is>
      </c>
      <c r="E7" s="27" t="inlineStr">
        <is>
          <t>Out-of-stock item in cart</t>
        </is>
      </c>
      <c r="F7" s="27" t="inlineStr">
        <is>
          <t>Reduce stock to 0 in admin then open the cart.</t>
        </is>
      </c>
      <c r="G7" s="27" t="inlineStr">
        <is>
          <t>Item flagged; checkout blocked for it with a clear message.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CHK-05</t>
        </is>
      </c>
      <c r="B8" s="21" t="inlineStr">
        <is>
          <t>P2</t>
        </is>
      </c>
      <c r="C8" s="22" t="inlineStr">
        <is>
          <t>Customer</t>
        </is>
      </c>
      <c r="D8" s="22" t="inlineStr">
        <is>
          <t>/cart</t>
        </is>
      </c>
      <c r="E8" s="22" t="inlineStr">
        <is>
          <t>Free delivery progress</t>
        </is>
      </c>
      <c r="F8" s="22" t="inlineStr">
        <is>
          <t>Add items under/over the free-delivery amount.</t>
        </is>
      </c>
      <c r="G8" s="22" t="inlineStr">
        <is>
          <t>Progress message correct; delivery becomes free over the amount.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CHK-06</t>
        </is>
      </c>
      <c r="B9" s="26" t="inlineStr">
        <is>
          <t>P1</t>
        </is>
      </c>
      <c r="C9" s="27" t="inlineStr">
        <is>
          <t>Customer</t>
        </is>
      </c>
      <c r="D9" s="27" t="inlineStr">
        <is>
          <t>/checkout</t>
        </is>
      </c>
      <c r="E9" s="27" t="inlineStr">
        <is>
          <t>Checkout page loads</t>
        </is>
      </c>
      <c r="F9" s="27" t="inlineStr">
        <is>
          <t>Open /checkout with items.</t>
        </is>
      </c>
      <c r="G9" s="27" t="inlineStr">
        <is>
          <t>One page: contact, address, delivery, payment, totals. No console errors.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CHK-07</t>
        </is>
      </c>
      <c r="B10" s="21" t="inlineStr">
        <is>
          <t>P1</t>
        </is>
      </c>
      <c r="C10" s="22" t="inlineStr">
        <is>
          <t>Customer</t>
        </is>
      </c>
      <c r="D10" s="22" t="inlineStr">
        <is>
          <t>/checkout</t>
        </is>
      </c>
      <c r="E10" s="22" t="inlineStr">
        <is>
          <t>Phone number field</t>
        </is>
      </c>
      <c r="F10" s="22" t="inlineStr">
        <is>
          <t>Enter 1712345678, 01712345678, +8801712345678, Bangla digits, and 12345.</t>
        </is>
      </c>
      <c r="G10" s="22" t="inlineStr">
        <is>
          <t>Valid forms accepted and formatted; invalid shows error.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CHK-08</t>
        </is>
      </c>
      <c r="B11" s="26" t="inlineStr">
        <is>
          <t>P1</t>
        </is>
      </c>
      <c r="C11" s="27" t="inlineStr">
        <is>
          <t>Customer</t>
        </is>
      </c>
      <c r="D11" s="27" t="inlineStr">
        <is>
          <t>/checkout</t>
        </is>
      </c>
      <c r="E11" s="27" t="inlineStr">
        <is>
          <t>Address cascade</t>
        </is>
      </c>
      <c r="F11" s="27" t="inlineStr">
        <is>
          <t>Pick division &gt; district &gt; upazila.</t>
        </is>
      </c>
      <c r="G11" s="27" t="inlineStr">
        <is>
          <t>Lists follow the choice; all 64 districts available; delivery zone and ETA appear.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CHK-09</t>
        </is>
      </c>
      <c r="B12" s="21" t="inlineStr">
        <is>
          <t>P1</t>
        </is>
      </c>
      <c r="C12" s="22" t="inlineStr">
        <is>
          <t>Customer</t>
        </is>
      </c>
      <c r="D12" s="22" t="inlineStr">
        <is>
          <t>/checkout</t>
        </is>
      </c>
      <c r="E12" s="22" t="inlineStr">
        <is>
          <t>Delivery charge</t>
        </is>
      </c>
      <c r="F12" s="22" t="inlineStr">
        <is>
          <t>Choose inside Dhaka, then outside Dhaka.</t>
        </is>
      </c>
      <c r="G12" s="22" t="inlineStr">
        <is>
          <t>Charge matches Settings &gt; Delivery charges for each zone.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CHK-10</t>
        </is>
      </c>
      <c r="B13" s="26" t="inlineStr">
        <is>
          <t>P1</t>
        </is>
      </c>
      <c r="C13" s="27" t="inlineStr">
        <is>
          <t>Customer</t>
        </is>
      </c>
      <c r="D13" s="27" t="inlineStr">
        <is>
          <t>/checkout</t>
        </is>
      </c>
      <c r="E13" s="27" t="inlineStr">
        <is>
          <t>Required field errors</t>
        </is>
      </c>
      <c r="F13" s="27" t="inlineStr">
        <is>
          <t>Submit with each required field empty.</t>
        </is>
      </c>
      <c r="G13" s="27" t="inlineStr">
        <is>
          <t>Each shows a plain message in the chosen language; first error gets focus.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CHK-11</t>
        </is>
      </c>
      <c r="B14" s="21" t="inlineStr">
        <is>
          <t>P1</t>
        </is>
      </c>
      <c r="C14" s="22" t="inlineStr">
        <is>
          <t>Customer</t>
        </is>
      </c>
      <c r="D14" s="22" t="inlineStr">
        <is>
          <t>/checkout</t>
        </is>
      </c>
      <c r="E14" s="22" t="inlineStr">
        <is>
          <t>Cash on delivery order</t>
        </is>
      </c>
      <c r="F14" s="22" t="inlineStr">
        <is>
          <t>Complete a COD order.</t>
        </is>
      </c>
      <c r="G14" s="22" t="inlineStr">
        <is>
          <t>Order placed; success page with order number; total = items + delivery + COD fee (if any).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CHK-12</t>
        </is>
      </c>
      <c r="B15" s="26" t="inlineStr">
        <is>
          <t>P1</t>
        </is>
      </c>
      <c r="C15" s="27" t="inlineStr">
        <is>
          <t>Customer</t>
        </is>
      </c>
      <c r="D15" s="27" t="inlineStr">
        <is>
          <t>/checkout</t>
        </is>
      </c>
      <c r="E15" s="27" t="inlineStr">
        <is>
          <t>COD fee and limit</t>
        </is>
      </c>
      <c r="F15" s="27" t="inlineStr">
        <is>
          <t>Set COD fee and a COD maximum in admin; order above the maximum.</t>
        </is>
      </c>
      <c r="G15" s="27" t="inlineStr">
        <is>
          <t>Fee shown; above the maximum COD is refused with advice to pay by bKash/Nagad.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CHK-13</t>
        </is>
      </c>
      <c r="B16" s="21" t="inlineStr">
        <is>
          <t>P1</t>
        </is>
      </c>
      <c r="C16" s="22" t="inlineStr">
        <is>
          <t>Customer</t>
        </is>
      </c>
      <c r="D16" s="22" t="inlineStr">
        <is>
          <t>/checkout</t>
        </is>
      </c>
      <c r="E16" s="22" t="inlineStr">
        <is>
          <t>bKash order</t>
        </is>
      </c>
      <c r="F16" s="22" t="inlineStr">
        <is>
          <t>Choose bKash; send amount (test), enter sender number and TrxID.</t>
        </is>
      </c>
      <c r="G16" s="22" t="inlineStr">
        <is>
          <t>Instructions show store number and exact amount. Order placed as 'waiting for payment check'.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CHK-14</t>
        </is>
      </c>
      <c r="B17" s="26" t="inlineStr">
        <is>
          <t>P1</t>
        </is>
      </c>
      <c r="C17" s="27" t="inlineStr">
        <is>
          <t>Customer</t>
        </is>
      </c>
      <c r="D17" s="27" t="inlineStr">
        <is>
          <t>/checkout</t>
        </is>
      </c>
      <c r="E17" s="27" t="inlineStr">
        <is>
          <t>Nagad order</t>
        </is>
      </c>
      <c r="F17" s="27" t="inlineStr">
        <is>
          <t>Same with Nagad.</t>
        </is>
      </c>
      <c r="G17" s="27" t="inlineStr">
        <is>
          <t>Same behaviour with the Nagad number.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CHK-15</t>
        </is>
      </c>
      <c r="B18" s="21" t="inlineStr">
        <is>
          <t>P1</t>
        </is>
      </c>
      <c r="C18" s="22" t="inlineStr">
        <is>
          <t>Customer</t>
        </is>
      </c>
      <c r="D18" s="22" t="inlineStr">
        <is>
          <t>/checkout</t>
        </is>
      </c>
      <c r="E18" s="22" t="inlineStr">
        <is>
          <t>TrxID rules</t>
        </is>
      </c>
      <c r="F18" s="22" t="inlineStr">
        <is>
          <t>Enter 5 characters; enter a symbol; reuse a TrxID from another order.</t>
        </is>
      </c>
      <c r="G18" s="22" t="inlineStr">
        <is>
          <t>Short/invalid refused; reused refused ('already used').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CHK-16</t>
        </is>
      </c>
      <c r="B19" s="26" t="inlineStr">
        <is>
          <t>P2</t>
        </is>
      </c>
      <c r="C19" s="27" t="inlineStr">
        <is>
          <t>Customer</t>
        </is>
      </c>
      <c r="D19" s="27" t="inlineStr">
        <is>
          <t>/checkout</t>
        </is>
      </c>
      <c r="E19" s="27" t="inlineStr">
        <is>
          <t>Agent / merchant number note</t>
        </is>
      </c>
      <c r="F19" s="27" t="inlineStr">
        <is>
          <t>Set bKash account type to Agent.</t>
        </is>
      </c>
      <c r="G19" s="27" t="inlineStr">
        <is>
          <t>Warning about agent charges shows under the steps.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CHK-17</t>
        </is>
      </c>
      <c r="B20" s="21" t="inlineStr">
        <is>
          <t>P2</t>
        </is>
      </c>
      <c r="C20" s="22" t="inlineStr">
        <is>
          <t>Customer</t>
        </is>
      </c>
      <c r="D20" s="22" t="inlineStr">
        <is>
          <t>/checkout</t>
        </is>
      </c>
      <c r="E20" s="22" t="inlineStr">
        <is>
          <t>Payment method switched off</t>
        </is>
      </c>
      <c r="F20" s="22" t="inlineStr">
        <is>
          <t>Turn bKash off in Settings &gt; Payments.</t>
        </is>
      </c>
      <c r="G20" s="22" t="inlineStr">
        <is>
          <t>Method hidden or disabled; cannot be chosen.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CHK-18</t>
        </is>
      </c>
      <c r="B21" s="26" t="inlineStr">
        <is>
          <t>P1</t>
        </is>
      </c>
      <c r="C21" s="27" t="inlineStr">
        <is>
          <t>Customer</t>
        </is>
      </c>
      <c r="D21" s="27" t="inlineStr">
        <is>
          <t>/checkout</t>
        </is>
      </c>
      <c r="E21" s="27" t="inlineStr">
        <is>
          <t>Online payment (UddoktaPay)</t>
        </is>
      </c>
      <c r="F21" s="27" t="inlineStr">
        <is>
          <t>If enabled: choose online payment; pay in test mode.</t>
        </is>
      </c>
      <c r="G21" s="27" t="inlineStr">
        <is>
          <t>Redirects to gateway; success returns to order page marked Paid; cancel returns without a paid order.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CHK-19</t>
        </is>
      </c>
      <c r="B22" s="21" t="inlineStr">
        <is>
          <t>P1</t>
        </is>
      </c>
      <c r="C22" s="22" t="inlineStr">
        <is>
          <t>Customer</t>
        </is>
      </c>
      <c r="D22" s="22" t="inlineStr">
        <is>
          <t>/checkout</t>
        </is>
      </c>
      <c r="E22" s="22" t="inlineStr">
        <is>
          <t>Coupon applies</t>
        </is>
      </c>
      <c r="F22" s="22" t="inlineStr">
        <is>
          <t>Enter a valid coupon; then invalid, expired, below-minimum, used-up, already-used-by-me.</t>
        </is>
      </c>
      <c r="G22" s="22" t="inlineStr">
        <is>
          <t>Valid: discount shown. Each invalid case: a plain reason; order still possible without it.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CHK-20</t>
        </is>
      </c>
      <c r="B23" s="26" t="inlineStr">
        <is>
          <t>P1</t>
        </is>
      </c>
      <c r="C23" s="27" t="inlineStr">
        <is>
          <t>Customer</t>
        </is>
      </c>
      <c r="D23" s="27" t="inlineStr">
        <is>
          <t>/checkout</t>
        </is>
      </c>
      <c r="E23" s="27" t="inlineStr">
        <is>
          <t>Double tap on Place order</t>
        </is>
      </c>
      <c r="F23" s="27" t="inlineStr">
        <is>
          <t>Tap Place order twice fast.</t>
        </is>
      </c>
      <c r="G23" s="27" t="inlineStr">
        <is>
          <t>Exactly one order is created.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  <row r="24">
      <c r="A24" s="21" t="inlineStr">
        <is>
          <t>CHK-21</t>
        </is>
      </c>
      <c r="B24" s="21" t="inlineStr">
        <is>
          <t>P1</t>
        </is>
      </c>
      <c r="C24" s="22" t="inlineStr">
        <is>
          <t>Customer</t>
        </is>
      </c>
      <c r="D24" s="22" t="inlineStr">
        <is>
          <t>/checkout</t>
        </is>
      </c>
      <c r="E24" s="22" t="inlineStr">
        <is>
          <t>Stock race</t>
        </is>
      </c>
      <c r="F24" s="22" t="inlineStr">
        <is>
          <t>Two browsers order the last unit at the same time.</t>
        </is>
      </c>
      <c r="G24" s="22" t="inlineStr">
        <is>
          <t>One succeeds; the other gets 'only N left'. Stock never negative.</t>
        </is>
      </c>
      <c r="H24" s="23" t="n"/>
      <c r="I24" s="23" t="n"/>
      <c r="J24" s="24">
        <f>IF(OR(H24="Fail",I24="Fail"),"Fail",IF(OR(H24="Blocked",I24="Blocked"),"Blocked",IF(AND(OR(H24="Pass",H24="N/A"),OR(I24="Pass",I24="N/A"),COUNTIF(H24:I24,"Pass")&gt;0),"Pass",IF(AND(H24="N/A",I24="N/A"),"N/A",IF(COUNTA(H24:I24)=0,"Not run","In progress")))))</f>
        <v/>
      </c>
      <c r="K24" s="25" t="n"/>
      <c r="L24" s="23" t="n"/>
      <c r="M24" s="25" t="n"/>
    </row>
    <row r="25">
      <c r="A25" s="26" t="inlineStr">
        <is>
          <t>CHK-22</t>
        </is>
      </c>
      <c r="B25" s="26" t="inlineStr">
        <is>
          <t>P1</t>
        </is>
      </c>
      <c r="C25" s="27" t="inlineStr">
        <is>
          <t>Customer</t>
        </is>
      </c>
      <c r="D25" s="27" t="inlineStr">
        <is>
          <t>/checkout</t>
        </is>
      </c>
      <c r="E25" s="27" t="inlineStr">
        <is>
          <t>Price tamper</t>
        </is>
      </c>
      <c r="F25" s="27" t="inlineStr">
        <is>
          <t>Change a price or quantity in browser dev tools, then submit.</t>
        </is>
      </c>
      <c r="G25" s="27" t="inlineStr">
        <is>
          <t>Server charges the real price; tampering has no effect.</t>
        </is>
      </c>
      <c r="H25" s="23" t="n"/>
      <c r="I25" s="23" t="n"/>
      <c r="J25" s="28">
        <f>IF(OR(H25="Fail",I25="Fail"),"Fail",IF(OR(H25="Blocked",I25="Blocked"),"Blocked",IF(AND(OR(H25="Pass",H25="N/A"),OR(I25="Pass",I25="N/A"),COUNTIF(H25:I25,"Pass")&gt;0),"Pass",IF(AND(H25="N/A",I25="N/A"),"N/A",IF(COUNTA(H25:I25)=0,"Not run","In progress")))))</f>
        <v/>
      </c>
      <c r="K25" s="25" t="n"/>
      <c r="L25" s="23" t="n"/>
      <c r="M25" s="25" t="n"/>
    </row>
    <row r="26">
      <c r="A26" s="21" t="inlineStr">
        <is>
          <t>CHK-23</t>
        </is>
      </c>
      <c r="B26" s="21" t="inlineStr">
        <is>
          <t>P1</t>
        </is>
      </c>
      <c r="C26" s="22" t="inlineStr">
        <is>
          <t>Customer</t>
        </is>
      </c>
      <c r="D26" s="22" t="inlineStr">
        <is>
          <t>/checkout</t>
        </is>
      </c>
      <c r="E26" s="22" t="inlineStr">
        <is>
          <t>Daily limit per phone</t>
        </is>
      </c>
      <c r="F26" s="22" t="inlineStr">
        <is>
          <t>Place 4 orders from one number in a day.</t>
        </is>
      </c>
      <c r="G26" s="22" t="inlineStr">
        <is>
          <t>Fourth is refused politely (limit 3 per day).</t>
        </is>
      </c>
      <c r="H26" s="23" t="n"/>
      <c r="I26" s="23" t="n"/>
      <c r="J26" s="24">
        <f>IF(OR(H26="Fail",I26="Fail"),"Fail",IF(OR(H26="Blocked",I26="Blocked"),"Blocked",IF(AND(OR(H26="Pass",H26="N/A"),OR(I26="Pass",I26="N/A"),COUNTIF(H26:I26,"Pass")&gt;0),"Pass",IF(AND(H26="N/A",I26="N/A"),"N/A",IF(COUNTA(H26:I26)=0,"Not run","In progress")))))</f>
        <v/>
      </c>
      <c r="K26" s="25" t="n"/>
      <c r="L26" s="23" t="n"/>
      <c r="M26" s="25" t="n"/>
    </row>
    <row r="27">
      <c r="A27" s="26" t="inlineStr">
        <is>
          <t>CHK-24</t>
        </is>
      </c>
      <c r="B27" s="26" t="inlineStr">
        <is>
          <t>P1</t>
        </is>
      </c>
      <c r="C27" s="27" t="inlineStr">
        <is>
          <t>Customer</t>
        </is>
      </c>
      <c r="D27" s="27" t="inlineStr">
        <is>
          <t>/checkout</t>
        </is>
      </c>
      <c r="E27" s="27" t="inlineStr">
        <is>
          <t>Blocked number</t>
        </is>
      </c>
      <c r="F27" s="27" t="inlineStr">
        <is>
          <t>Add a number to Admin &gt; Fraud &gt; Blocked; order with it.</t>
        </is>
      </c>
      <c r="G27" s="27" t="inlineStr">
        <is>
          <t>Refused with a vague message (does not say it is blocked).</t>
        </is>
      </c>
      <c r="H27" s="23" t="n"/>
      <c r="I27" s="23" t="n"/>
      <c r="J27" s="28">
        <f>IF(OR(H27="Fail",I27="Fail"),"Fail",IF(OR(H27="Blocked",I27="Blocked"),"Blocked",IF(AND(OR(H27="Pass",H27="N/A"),OR(I27="Pass",I27="N/A"),COUNTIF(H27:I27,"Pass")&gt;0),"Pass",IF(AND(H27="N/A",I27="N/A"),"N/A",IF(COUNTA(H27:I27)=0,"Not run","In progress")))))</f>
        <v/>
      </c>
      <c r="K27" s="25" t="n"/>
      <c r="L27" s="23" t="n"/>
      <c r="M27" s="25" t="n"/>
    </row>
    <row r="28">
      <c r="A28" s="21" t="inlineStr">
        <is>
          <t>CHK-25</t>
        </is>
      </c>
      <c r="B28" s="21" t="inlineStr">
        <is>
          <t>P2</t>
        </is>
      </c>
      <c r="C28" s="22" t="inlineStr">
        <is>
          <t>Customer</t>
        </is>
      </c>
      <c r="D28" s="22" t="inlineStr">
        <is>
          <t>/checkout</t>
        </is>
      </c>
      <c r="E28" s="22" t="inlineStr">
        <is>
          <t>Loyalty points at checkout</t>
        </is>
      </c>
      <c r="F28" s="22" t="inlineStr">
        <is>
          <t>Signed-in customer with points: use points.</t>
        </is>
      </c>
      <c r="G28" s="22" t="inlineStr">
        <is>
          <t>Discount applied, capped by the % limit; points reduced after order.</t>
        </is>
      </c>
      <c r="H28" s="23" t="n"/>
      <c r="I28" s="23" t="n"/>
      <c r="J28" s="24">
        <f>IF(OR(H28="Fail",I28="Fail"),"Fail",IF(OR(H28="Blocked",I28="Blocked"),"Blocked",IF(AND(OR(H28="Pass",H28="N/A"),OR(I28="Pass",I28="N/A"),COUNTIF(H28:I28,"Pass")&gt;0),"Pass",IF(AND(H28="N/A",I28="N/A"),"N/A",IF(COUNTA(H28:I28)=0,"Not run","In progress")))))</f>
        <v/>
      </c>
      <c r="K28" s="25" t="n"/>
      <c r="L28" s="23" t="n"/>
      <c r="M28" s="25" t="n"/>
    </row>
    <row r="29">
      <c r="A29" s="26" t="inlineStr">
        <is>
          <t>CHK-26</t>
        </is>
      </c>
      <c r="B29" s="26" t="inlineStr">
        <is>
          <t>P2</t>
        </is>
      </c>
      <c r="C29" s="27" t="inlineStr">
        <is>
          <t>Customer</t>
        </is>
      </c>
      <c r="D29" s="27" t="inlineStr">
        <is>
          <t>/checkout</t>
        </is>
      </c>
      <c r="E29" s="27" t="inlineStr">
        <is>
          <t>Referral code</t>
        </is>
      </c>
      <c r="F29" s="27" t="inlineStr">
        <is>
          <t>Open a friend's referral link; order as a new customer.</t>
        </is>
      </c>
      <c r="G29" s="27" t="inlineStr">
        <is>
          <t>Friend offer applies once; refused for same address/connection as the referrer.</t>
        </is>
      </c>
      <c r="H29" s="23" t="n"/>
      <c r="I29" s="23" t="n"/>
      <c r="J29" s="28">
        <f>IF(OR(H29="Fail",I29="Fail"),"Fail",IF(OR(H29="Blocked",I29="Blocked"),"Blocked",IF(AND(OR(H29="Pass",H29="N/A"),OR(I29="Pass",I29="N/A"),COUNTIF(H29:I29,"Pass")&gt;0),"Pass",IF(AND(H29="N/A",I29="N/A"),"N/A",IF(COUNTA(H29:I29)=0,"Not run","In progress")))))</f>
        <v/>
      </c>
      <c r="K29" s="25" t="n"/>
      <c r="L29" s="23" t="n"/>
      <c r="M29" s="25" t="n"/>
    </row>
    <row r="30">
      <c r="A30" s="21" t="inlineStr">
        <is>
          <t>CHK-27</t>
        </is>
      </c>
      <c r="B30" s="21" t="inlineStr">
        <is>
          <t>P2</t>
        </is>
      </c>
      <c r="C30" s="22" t="inlineStr">
        <is>
          <t>Customer</t>
        </is>
      </c>
      <c r="D30" s="22" t="inlineStr">
        <is>
          <t>/checkout</t>
        </is>
      </c>
      <c r="E30" s="22" t="inlineStr">
        <is>
          <t>VIP discount and free delivery</t>
        </is>
      </c>
      <c r="F30" s="22" t="inlineStr">
        <is>
          <t>Order as a Gold/Platinum member.</t>
        </is>
      </c>
      <c r="G30" s="22" t="inlineStr">
        <is>
          <t>Tier discount shown; Platinum delivery free; order marked Priority in admin.</t>
        </is>
      </c>
      <c r="H30" s="23" t="n"/>
      <c r="I30" s="23" t="n"/>
      <c r="J30" s="24">
        <f>IF(OR(H30="Fail",I30="Fail"),"Fail",IF(OR(H30="Blocked",I30="Blocked"),"Blocked",IF(AND(OR(H30="Pass",H30="N/A"),OR(I30="Pass",I30="N/A"),COUNTIF(H30:I30,"Pass")&gt;0),"Pass",IF(AND(H30="N/A",I30="N/A"),"N/A",IF(COUNTA(H30:I30)=0,"Not run","In progress")))))</f>
        <v/>
      </c>
      <c r="K30" s="25" t="n"/>
      <c r="L30" s="23" t="n"/>
      <c r="M30" s="25" t="n"/>
    </row>
    <row r="31">
      <c r="A31" s="26" t="inlineStr">
        <is>
          <t>CHK-28</t>
        </is>
      </c>
      <c r="B31" s="26" t="inlineStr">
        <is>
          <t>P2</t>
        </is>
      </c>
      <c r="C31" s="27" t="inlineStr">
        <is>
          <t>Customer</t>
        </is>
      </c>
      <c r="D31" s="27" t="inlineStr">
        <is>
          <t>/checkout</t>
        </is>
      </c>
      <c r="E31" s="27" t="inlineStr">
        <is>
          <t>Returning customer</t>
        </is>
      </c>
      <c r="F31" s="27" t="inlineStr">
        <is>
          <t>Order again with the same number.</t>
        </is>
      </c>
      <c r="G31" s="27" t="inlineStr">
        <is>
          <t>Name/address may prefill after sign-in; no duplicate customer in admin.</t>
        </is>
      </c>
      <c r="H31" s="23" t="n"/>
      <c r="I31" s="23" t="n"/>
      <c r="J31" s="28">
        <f>IF(OR(H31="Fail",I31="Fail"),"Fail",IF(OR(H31="Blocked",I31="Blocked"),"Blocked",IF(AND(OR(H31="Pass",H31="N/A"),OR(I31="Pass",I31="N/A"),COUNTIF(H31:I31,"Pass")&gt;0),"Pass",IF(AND(H31="N/A",I31="N/A"),"N/A",IF(COUNTA(H31:I31)=0,"Not run","In progress")))))</f>
        <v/>
      </c>
      <c r="K31" s="25" t="n"/>
      <c r="L31" s="23" t="n"/>
      <c r="M31" s="25" t="n"/>
    </row>
    <row r="32">
      <c r="A32" s="21" t="inlineStr">
        <is>
          <t>CHK-29</t>
        </is>
      </c>
      <c r="B32" s="21" t="inlineStr">
        <is>
          <t>P2</t>
        </is>
      </c>
      <c r="C32" s="22" t="inlineStr">
        <is>
          <t>Customer</t>
        </is>
      </c>
      <c r="D32" s="22" t="inlineStr">
        <is>
          <t>/checkout</t>
        </is>
      </c>
      <c r="E32" s="22" t="inlineStr">
        <is>
          <t>Abandoned cart capture</t>
        </is>
      </c>
      <c r="F32" s="22" t="inlineStr">
        <is>
          <t>Enter a valid number then leave.</t>
        </is>
      </c>
      <c r="G32" s="22" t="inlineStr">
        <is>
          <t>After 30 minutes the recovery SMS arrives (if enabled) and the link restores the cart.</t>
        </is>
      </c>
      <c r="H32" s="23" t="n"/>
      <c r="I32" s="23" t="n"/>
      <c r="J32" s="24">
        <f>IF(OR(H32="Fail",I32="Fail"),"Fail",IF(OR(H32="Blocked",I32="Blocked"),"Blocked",IF(AND(OR(H32="Pass",H32="N/A"),OR(I32="Pass",I32="N/A"),COUNTIF(H32:I32,"Pass")&gt;0),"Pass",IF(AND(H32="N/A",I32="N/A"),"N/A",IF(COUNTA(H32:I32)=0,"Not run","In progress")))))</f>
        <v/>
      </c>
      <c r="K32" s="25" t="n"/>
      <c r="L32" s="23" t="n"/>
      <c r="M32" s="25" t="n"/>
    </row>
    <row r="33">
      <c r="A33" s="26" t="inlineStr">
        <is>
          <t>CHK-30</t>
        </is>
      </c>
      <c r="B33" s="26" t="inlineStr">
        <is>
          <t>P1</t>
        </is>
      </c>
      <c r="C33" s="27" t="inlineStr">
        <is>
          <t>Customer</t>
        </is>
      </c>
      <c r="D33" s="27" t="inlineStr">
        <is>
          <t>/order/&lt;id&gt;?k=</t>
        </is>
      </c>
      <c r="E33" s="27" t="inlineStr">
        <is>
          <t>Order success page</t>
        </is>
      </c>
      <c r="F33" s="27" t="inlineStr">
        <is>
          <t>After placing an order.</t>
        </is>
      </c>
      <c r="G33" s="27" t="inlineStr">
        <is>
          <t>Order number, items, totals, payment status, next steps. Page opens only with the link; guessing another id gives 404.</t>
        </is>
      </c>
      <c r="H33" s="23" t="n"/>
      <c r="I33" s="23" t="n"/>
      <c r="J33" s="28">
        <f>IF(OR(H33="Fail",I33="Fail"),"Fail",IF(OR(H33="Blocked",I33="Blocked"),"Blocked",IF(AND(OR(H33="Pass",H33="N/A"),OR(I33="Pass",I33="N/A"),COUNTIF(H33:I33,"Pass")&gt;0),"Pass",IF(AND(H33="N/A",I33="N/A"),"N/A",IF(COUNTA(H33:I33)=0,"Not run","In progress")))))</f>
        <v/>
      </c>
      <c r="K33" s="25" t="n"/>
      <c r="L33" s="23" t="n"/>
      <c r="M33" s="25" t="n"/>
    </row>
    <row r="34">
      <c r="A34" s="21" t="inlineStr">
        <is>
          <t>CHK-31</t>
        </is>
      </c>
      <c r="B34" s="21" t="inlineStr">
        <is>
          <t>P1</t>
        </is>
      </c>
      <c r="C34" s="22" t="inlineStr">
        <is>
          <t>Customer</t>
        </is>
      </c>
      <c r="D34" s="22" t="inlineStr">
        <is>
          <t>SMS</t>
        </is>
      </c>
      <c r="E34" s="22" t="inlineStr">
        <is>
          <t>Order confirmation SMS</t>
        </is>
      </c>
      <c r="F34" s="22" t="inlineStr">
        <is>
          <t>If order SMS is switched on.</t>
        </is>
      </c>
      <c r="G34" s="22" t="inlineStr">
        <is>
          <t>Customer receives the right message in the store language with the right number and total.</t>
        </is>
      </c>
      <c r="H34" s="23" t="n"/>
      <c r="I34" s="23" t="n"/>
      <c r="J34" s="24">
        <f>IF(OR(H34="Fail",I34="Fail"),"Fail",IF(OR(H34="Blocked",I34="Blocked"),"Blocked",IF(AND(OR(H34="Pass",H34="N/A"),OR(I34="Pass",I34="N/A"),COUNTIF(H34:I34,"Pass")&gt;0),"Pass",IF(AND(H34="N/A",I34="N/A"),"N/A",IF(COUNTA(H34:I34)=0,"Not run","In progress")))))</f>
        <v/>
      </c>
      <c r="K34" s="25" t="n"/>
      <c r="L34" s="23" t="n"/>
      <c r="M34" s="25" t="n"/>
    </row>
    <row r="35">
      <c r="A35" s="26" t="inlineStr">
        <is>
          <t>CHK-32</t>
        </is>
      </c>
      <c r="B35" s="26" t="inlineStr">
        <is>
          <t>P2</t>
        </is>
      </c>
      <c r="C35" s="27" t="inlineStr">
        <is>
          <t>Customer</t>
        </is>
      </c>
      <c r="D35" s="27" t="inlineStr">
        <is>
          <t>/checkout</t>
        </is>
      </c>
      <c r="E35" s="27" t="inlineStr">
        <is>
          <t>Checkout in Bangla</t>
        </is>
      </c>
      <c r="F35" s="27" t="inlineStr">
        <is>
          <t>Switch to Bangla and order.</t>
        </is>
      </c>
      <c r="G35" s="27" t="inlineStr">
        <is>
          <t>All labels, errors, totals use Bangla digits; order saves correctly.</t>
        </is>
      </c>
      <c r="H35" s="23" t="n"/>
      <c r="I35" s="23" t="n"/>
      <c r="J35" s="28">
        <f>IF(OR(H35="Fail",I35="Fail"),"Fail",IF(OR(H35="Blocked",I35="Blocked"),"Blocked",IF(AND(OR(H35="Pass",H35="N/A"),OR(I35="Pass",I35="N/A"),COUNTIF(H35:I35,"Pass")&gt;0),"Pass",IF(AND(H35="N/A",I35="N/A"),"N/A",IF(COUNTA(H35:I35)=0,"Not run","In progress")))))</f>
        <v/>
      </c>
      <c r="K35" s="25" t="n"/>
      <c r="L35" s="23" t="n"/>
      <c r="M35" s="25" t="n"/>
    </row>
    <row r="36">
      <c r="A36" s="21" t="inlineStr">
        <is>
          <t>CHK-33</t>
        </is>
      </c>
      <c r="B36" s="21" t="inlineStr">
        <is>
          <t>P2</t>
        </is>
      </c>
      <c r="C36" s="22" t="inlineStr">
        <is>
          <t>Customer</t>
        </is>
      </c>
      <c r="D36" s="22" t="inlineStr">
        <is>
          <t>/checkout</t>
        </is>
      </c>
      <c r="E36" s="22" t="inlineStr">
        <is>
          <t>Phone usability</t>
        </is>
      </c>
      <c r="F36" s="22" t="inlineStr">
        <is>
          <t>Complete checkout on a 390px phone, one-handed.</t>
        </is>
      </c>
      <c r="G36" s="22" t="inlineStr">
        <is>
          <t>No sideways scroll; buttons at least 44px; keyboard type suits each field.</t>
        </is>
      </c>
      <c r="H36" s="23" t="n"/>
      <c r="I36" s="23" t="n"/>
      <c r="J36" s="24">
        <f>IF(OR(H36="Fail",I36="Fail"),"Fail",IF(OR(H36="Blocked",I36="Blocked"),"Blocked",IF(AND(OR(H36="Pass",H36="N/A"),OR(I36="Pass",I36="N/A"),COUNTIF(H36:I36,"Pass")&gt;0),"Pass",IF(AND(H36="N/A",I36="N/A"),"N/A",IF(COUNTA(H36:I36)=0,"Not run","In progress")))))</f>
        <v/>
      </c>
      <c r="K36" s="25" t="n"/>
      <c r="L36" s="23" t="n"/>
      <c r="M36" s="25" t="n"/>
    </row>
    <row r="37">
      <c r="A37" s="26" t="inlineStr">
        <is>
          <t>CHK-34</t>
        </is>
      </c>
      <c r="B37" s="26" t="inlineStr">
        <is>
          <t>P2</t>
        </is>
      </c>
      <c r="C37" s="27" t="inlineStr">
        <is>
          <t>Customer</t>
        </is>
      </c>
      <c r="D37" s="27" t="inlineStr">
        <is>
          <t>/draft/&lt;code&gt;</t>
        </is>
      </c>
      <c r="E37" s="27" t="inlineStr">
        <is>
          <t>Draft order link</t>
        </is>
      </c>
      <c r="F37" s="27" t="inlineStr">
        <is>
          <t>Open a draft link from admin; check items/address; choose COD and place.</t>
        </is>
      </c>
      <c r="G37" s="27" t="inlineStr">
        <is>
          <t>Page shows items and address; order is created once; reopening link goes to the order.</t>
        </is>
      </c>
      <c r="H37" s="23" t="n"/>
      <c r="I37" s="23" t="n"/>
      <c r="J37" s="28">
        <f>IF(OR(H37="Fail",I37="Fail"),"Fail",IF(OR(H37="Blocked",I37="Blocked"),"Blocked",IF(AND(OR(H37="Pass",H37="N/A"),OR(I37="Pass",I37="N/A"),COUNTIF(H37:I37,"Pass")&gt;0),"Pass",IF(AND(H37="N/A",I37="N/A"),"N/A",IF(COUNTA(H37:I37)=0,"Not run","In progress")))))</f>
        <v/>
      </c>
      <c r="K37" s="25" t="n"/>
      <c r="L37" s="23" t="n"/>
      <c r="M37" s="25" t="n"/>
    </row>
    <row r="38">
      <c r="A38" s="21" t="inlineStr">
        <is>
          <t>CHK-35</t>
        </is>
      </c>
      <c r="B38" s="21" t="inlineStr">
        <is>
          <t>P2</t>
        </is>
      </c>
      <c r="C38" s="22" t="inlineStr">
        <is>
          <t>Customer</t>
        </is>
      </c>
      <c r="D38" s="22" t="inlineStr">
        <is>
          <t>/draft/&lt;code&gt;</t>
        </is>
      </c>
      <c r="E38" s="22" t="inlineStr">
        <is>
          <t>Draft link expired / cancelled / wrong</t>
        </is>
      </c>
      <c r="F38" s="22" t="inlineStr">
        <is>
          <t>Open an expired, a cancelled and a made-up link.</t>
        </is>
      </c>
      <c r="G38" s="22" t="inlineStr">
        <is>
          <t>Plain message for each; no order, no data of another store.</t>
        </is>
      </c>
      <c r="H38" s="23" t="n"/>
      <c r="I38" s="23" t="n"/>
      <c r="J38" s="24">
        <f>IF(OR(H38="Fail",I38="Fail"),"Fail",IF(OR(H38="Blocked",I38="Blocked"),"Blocked",IF(AND(OR(H38="Pass",H38="N/A"),OR(I38="Pass",I38="N/A"),COUNTIF(H38:I38,"Pass")&gt;0),"Pass",IF(AND(H38="N/A",I38="N/A"),"N/A",IF(COUNTA(H38:I38)=0,"Not run","In progress")))))</f>
        <v/>
      </c>
      <c r="K38" s="25" t="n"/>
      <c r="L38" s="23" t="n"/>
      <c r="M38" s="25" t="n"/>
    </row>
    <row r="39">
      <c r="A39" s="26" t="inlineStr">
        <is>
          <t>CHK-36</t>
        </is>
      </c>
      <c r="B39" s="26" t="inlineStr">
        <is>
          <t>P2</t>
        </is>
      </c>
      <c r="C39" s="27" t="inlineStr">
        <is>
          <t>Customer</t>
        </is>
      </c>
      <c r="D39" s="27" t="inlineStr">
        <is>
          <t>/draft/&lt;code&gt;</t>
        </is>
      </c>
      <c r="E39" s="27" t="inlineStr">
        <is>
          <t>Draft bKash</t>
        </is>
      </c>
      <c r="F39" s="27" t="inlineStr">
        <is>
          <t>Place a draft with bKash and a TrxID.</t>
        </is>
      </c>
      <c r="G39" s="27" t="inlineStr">
        <is>
          <t>Order waits for payment check like a normal bKash order.</t>
        </is>
      </c>
      <c r="H39" s="23" t="n"/>
      <c r="I39" s="23" t="n"/>
      <c r="J39" s="28">
        <f>IF(OR(H39="Fail",I39="Fail"),"Fail",IF(OR(H39="Blocked",I39="Blocked"),"Blocked",IF(AND(OR(H39="Pass",H39="N/A"),OR(I39="Pass",I39="N/A"),COUNTIF(H39:I39,"Pass")&gt;0),"Pass",IF(AND(H39="N/A",I39="N/A"),"N/A",IF(COUNTA(H39:I39)=0,"Not run","In progress")))))</f>
        <v/>
      </c>
      <c r="K39" s="25" t="n"/>
      <c r="L39" s="23" t="n"/>
      <c r="M39" s="25" t="n"/>
    </row>
  </sheetData>
  <autoFilter ref="A3:M39"/>
  <conditionalFormatting sqref="J4:J39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39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39">
    <cfRule type="cellIs" priority="6" operator="equal" dxfId="6">
      <formula>"P1"</formula>
    </cfRule>
  </conditionalFormatting>
  <dataValidations count="1">
    <dataValidation sqref="H4:I3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Storefront: account, order tracking, returns, support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CUS-01</t>
        </is>
      </c>
      <c r="B4" s="21" t="inlineStr">
        <is>
          <t>P1</t>
        </is>
      </c>
      <c r="C4" s="22" t="inlineStr">
        <is>
          <t>Customer</t>
        </is>
      </c>
      <c r="D4" s="22" t="inlineStr">
        <is>
          <t>/account</t>
        </is>
      </c>
      <c r="E4" s="22" t="inlineStr">
        <is>
          <t>Sign in by SMS code</t>
        </is>
      </c>
      <c r="F4" s="22" t="inlineStr">
        <is>
          <t>Enter number; receive 6-digit code; enter it.</t>
        </is>
      </c>
      <c r="G4" s="22" t="inlineStr">
        <is>
          <t>Signed in; code works once; expires after 5 minutes.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CUS-02</t>
        </is>
      </c>
      <c r="B5" s="26" t="inlineStr">
        <is>
          <t>P1</t>
        </is>
      </c>
      <c r="C5" s="27" t="inlineStr">
        <is>
          <t>Customer</t>
        </is>
      </c>
      <c r="D5" s="27" t="inlineStr">
        <is>
          <t>/account</t>
        </is>
      </c>
      <c r="E5" s="27" t="inlineStr">
        <is>
          <t>Wrong code limit</t>
        </is>
      </c>
      <c r="F5" s="27" t="inlineStr">
        <is>
          <t>Enter wrong codes 5 times.</t>
        </is>
      </c>
      <c r="G5" s="27" t="inlineStr">
        <is>
          <t>Code is cancelled; new code needed.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CUS-03</t>
        </is>
      </c>
      <c r="B6" s="21" t="inlineStr">
        <is>
          <t>P1</t>
        </is>
      </c>
      <c r="C6" s="22" t="inlineStr">
        <is>
          <t>Customer</t>
        </is>
      </c>
      <c r="D6" s="22" t="inlineStr">
        <is>
          <t>/account</t>
        </is>
      </c>
      <c r="E6" s="22" t="inlineStr">
        <is>
          <t>Request limits</t>
        </is>
      </c>
      <c r="F6" s="22" t="inlineStr">
        <is>
          <t>Request 4 codes in 15 minutes.</t>
        </is>
      </c>
      <c r="G6" s="22" t="inlineStr">
        <is>
          <t>Further requests refused politely.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CUS-04</t>
        </is>
      </c>
      <c r="B7" s="26" t="inlineStr">
        <is>
          <t>P2</t>
        </is>
      </c>
      <c r="C7" s="27" t="inlineStr">
        <is>
          <t>Customer</t>
        </is>
      </c>
      <c r="D7" s="27" t="inlineStr">
        <is>
          <t>/account</t>
        </is>
      </c>
      <c r="E7" s="27" t="inlineStr">
        <is>
          <t>Order history</t>
        </is>
      </c>
      <c r="F7" s="27" t="inlineStr">
        <is>
          <t>Open Account.</t>
        </is>
      </c>
      <c r="G7" s="27" t="inlineStr">
        <is>
          <t>Own orders only, newest first, correct status and totals; each links to its order page.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CUS-05</t>
        </is>
      </c>
      <c r="B8" s="21" t="inlineStr">
        <is>
          <t>P2</t>
        </is>
      </c>
      <c r="C8" s="22" t="inlineStr">
        <is>
          <t>Customer</t>
        </is>
      </c>
      <c r="D8" s="22" t="inlineStr">
        <is>
          <t>/account</t>
        </is>
      </c>
      <c r="E8" s="22" t="inlineStr">
        <is>
          <t>Points and tier</t>
        </is>
      </c>
      <c r="F8" s="22" t="inlineStr">
        <is>
          <t>Check points balance, pending points, tier, progress.</t>
        </is>
      </c>
      <c r="G8" s="22" t="inlineStr">
        <is>
          <t>Match Admin &gt; Loyalty for that customer.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CUS-06</t>
        </is>
      </c>
      <c r="B9" s="26" t="inlineStr">
        <is>
          <t>P2</t>
        </is>
      </c>
      <c r="C9" s="27" t="inlineStr">
        <is>
          <t>Customer</t>
        </is>
      </c>
      <c r="D9" s="27" t="inlineStr">
        <is>
          <t>/account</t>
        </is>
      </c>
      <c r="E9" s="27" t="inlineStr">
        <is>
          <t>Birthday</t>
        </is>
      </c>
      <c r="F9" s="27" t="inlineStr">
        <is>
          <t>Save birth month/day.</t>
        </is>
      </c>
      <c r="G9" s="27" t="inlineStr">
        <is>
          <t>Saved; birthday voucher arrives for Silver+ on the day.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CUS-07</t>
        </is>
      </c>
      <c r="B10" s="21" t="inlineStr">
        <is>
          <t>P2</t>
        </is>
      </c>
      <c r="C10" s="22" t="inlineStr">
        <is>
          <t>Customer</t>
        </is>
      </c>
      <c r="D10" s="22" t="inlineStr">
        <is>
          <t>/account</t>
        </is>
      </c>
      <c r="E10" s="22" t="inlineStr">
        <is>
          <t>Share referral</t>
        </is>
      </c>
      <c r="F10" s="22" t="inlineStr">
        <is>
          <t>Copy/share referral link.</t>
        </is>
      </c>
      <c r="G10" s="22" t="inlineStr">
        <is>
          <t>Link works and credits the referrer after the friend's first delivered order.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CUS-08</t>
        </is>
      </c>
      <c r="B11" s="26" t="inlineStr">
        <is>
          <t>P2</t>
        </is>
      </c>
      <c r="C11" s="27" t="inlineStr">
        <is>
          <t>Customer</t>
        </is>
      </c>
      <c r="D11" s="27" t="inlineStr">
        <is>
          <t>/account</t>
        </is>
      </c>
      <c r="E11" s="27" t="inlineStr">
        <is>
          <t>Sign out</t>
        </is>
      </c>
      <c r="F11" s="27" t="inlineStr">
        <is>
          <t>Press sign out.</t>
        </is>
      </c>
      <c r="G11" s="27" t="inlineStr">
        <is>
          <t>Signed out; account page asks for sign-in again.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CUS-09</t>
        </is>
      </c>
      <c r="B12" s="21" t="inlineStr">
        <is>
          <t>P1</t>
        </is>
      </c>
      <c r="C12" s="22" t="inlineStr">
        <is>
          <t>Customer</t>
        </is>
      </c>
      <c r="D12" s="22" t="inlineStr">
        <is>
          <t>/order/&lt;id&gt;</t>
        </is>
      </c>
      <c r="E12" s="22" t="inlineStr">
        <is>
          <t>Track my order</t>
        </is>
      </c>
      <c r="F12" s="22" t="inlineStr">
        <is>
          <t>Open the order link after admin moves status.</t>
        </is>
      </c>
      <c r="G12" s="22" t="inlineStr">
        <is>
          <t>Timeline shows confirmed, packed, shipped, delivered; courier tracking code/link shown.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CUS-10</t>
        </is>
      </c>
      <c r="B13" s="26" t="inlineStr">
        <is>
          <t>P2</t>
        </is>
      </c>
      <c r="C13" s="27" t="inlineStr">
        <is>
          <t>Customer</t>
        </is>
      </c>
      <c r="D13" s="27" t="inlineStr">
        <is>
          <t>/order/&lt;id&gt;</t>
        </is>
      </c>
      <c r="E13" s="27" t="inlineStr">
        <is>
          <t>Return or exchange request</t>
        </is>
      </c>
      <c r="F13" s="27" t="inlineStr">
        <is>
          <t>On a delivered order, request a return/exchange.</t>
        </is>
      </c>
      <c r="G13" s="27" t="inlineStr">
        <is>
          <t>Form asks reason and items; request appears in Admin &gt; Returns.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CUS-11</t>
        </is>
      </c>
      <c r="B14" s="21" t="inlineStr">
        <is>
          <t>P2</t>
        </is>
      </c>
      <c r="C14" s="22" t="inlineStr">
        <is>
          <t>Customer</t>
        </is>
      </c>
      <c r="D14" s="22" t="inlineStr">
        <is>
          <t>/order/&lt;id&gt;</t>
        </is>
      </c>
      <c r="E14" s="22" t="inlineStr">
        <is>
          <t>Return status tracking</t>
        </is>
      </c>
      <c r="F14" s="22" t="inlineStr">
        <is>
          <t>Open the return status link.</t>
        </is>
      </c>
      <c r="G14" s="22" t="inlineStr">
        <is>
          <t>Shows stages; refund info once paid back.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CUS-12</t>
        </is>
      </c>
      <c r="B15" s="26" t="inlineStr">
        <is>
          <t>P2</t>
        </is>
      </c>
      <c r="C15" s="27" t="inlineStr">
        <is>
          <t>Customer</t>
        </is>
      </c>
      <c r="D15" s="27" t="inlineStr">
        <is>
          <t>Review</t>
        </is>
      </c>
      <c r="E15" s="27" t="inlineStr">
        <is>
          <t>Leave a review</t>
        </is>
      </c>
      <c r="F15" s="27" t="inlineStr">
        <is>
          <t>Submit a review with rating (and photo if offered).</t>
        </is>
      </c>
      <c r="G15" s="27" t="inlineStr">
        <is>
          <t>Shown after moderation or immediately if auto-publish is on; appears in Admin &gt; Reviews.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CUS-13</t>
        </is>
      </c>
      <c r="B16" s="21" t="inlineStr">
        <is>
          <t>P1</t>
        </is>
      </c>
      <c r="C16" s="22" t="inlineStr">
        <is>
          <t>Customer</t>
        </is>
      </c>
      <c r="D16" s="22" t="inlineStr">
        <is>
          <t>/contact</t>
        </is>
      </c>
      <c r="E16" s="22" t="inlineStr">
        <is>
          <t>Contact form</t>
        </is>
      </c>
      <c r="F16" s="22" t="inlineStr">
        <is>
          <t>Send a message with name, number, message.</t>
        </is>
      </c>
      <c r="G16" s="22" t="inlineStr">
        <is>
          <t>'Thank you' message; message appears in Admin &gt; Inbox.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CUS-14</t>
        </is>
      </c>
      <c r="B17" s="26" t="inlineStr">
        <is>
          <t>P1</t>
        </is>
      </c>
      <c r="C17" s="27" t="inlineStr">
        <is>
          <t>Customer</t>
        </is>
      </c>
      <c r="D17" s="27" t="inlineStr">
        <is>
          <t>/contact</t>
        </is>
      </c>
      <c r="E17" s="27" t="inlineStr">
        <is>
          <t>Contact limits</t>
        </is>
      </c>
      <c r="F17" s="27" t="inlineStr">
        <is>
          <t>Send 4 messages in an hour from one number.</t>
        </is>
      </c>
      <c r="G17" s="27" t="inlineStr">
        <is>
          <t>Fourth refused politely; double tap sends once.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CUS-15</t>
        </is>
      </c>
      <c r="B18" s="21" t="inlineStr">
        <is>
          <t>P2</t>
        </is>
      </c>
      <c r="C18" s="22" t="inlineStr">
        <is>
          <t>Customer</t>
        </is>
      </c>
      <c r="D18" s="22" t="inlineStr">
        <is>
          <t>SMS</t>
        </is>
      </c>
      <c r="E18" s="22" t="inlineStr">
        <is>
          <t>Reply by SMS arrives</t>
        </is>
      </c>
      <c r="F18" s="22" t="inlineStr">
        <is>
          <t>Owner replies from Admin &gt; Inbox.</t>
        </is>
      </c>
      <c r="G18" s="22" t="inlineStr">
        <is>
          <t>Customer receives the reply on the number given.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CUS-16</t>
        </is>
      </c>
      <c r="B19" s="26" t="inlineStr">
        <is>
          <t>P2</t>
        </is>
      </c>
      <c r="C19" s="27" t="inlineStr">
        <is>
          <t>Customer</t>
        </is>
      </c>
      <c r="D19" s="27" t="inlineStr">
        <is>
          <t>SMS</t>
        </is>
      </c>
      <c r="E19" s="27" t="inlineStr">
        <is>
          <t>Back in stock SMS</t>
        </is>
      </c>
      <c r="F19" s="27" t="inlineStr">
        <is>
          <t>Owner restocks the sold-out item.</t>
        </is>
      </c>
      <c r="G19" s="27" t="inlineStr">
        <is>
          <t>One SMS with link arrives; link opens the product; not sent again later.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CUS-17</t>
        </is>
      </c>
      <c r="B20" s="21" t="inlineStr">
        <is>
          <t>P2</t>
        </is>
      </c>
      <c r="C20" s="22" t="inlineStr">
        <is>
          <t>Customer</t>
        </is>
      </c>
      <c r="D20" s="22" t="inlineStr">
        <is>
          <t>SMS</t>
        </is>
      </c>
      <c r="E20" s="22" t="inlineStr">
        <is>
          <t>SMS opt-out</t>
        </is>
      </c>
      <c r="F20" s="22" t="inlineStr">
        <is>
          <t>Reply STOP / opt out (if supported).</t>
        </is>
      </c>
      <c r="G20" s="22" t="inlineStr">
        <is>
          <t>No further marketing SMS; owner replies show 'asked not to get SMS'.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CUS-18</t>
        </is>
      </c>
      <c r="B21" s="26" t="inlineStr">
        <is>
          <t>P2</t>
        </is>
      </c>
      <c r="C21" s="27" t="inlineStr">
        <is>
          <t>Customer</t>
        </is>
      </c>
      <c r="D21" s="27" t="inlineStr">
        <is>
          <t>Privacy</t>
        </is>
      </c>
      <c r="E21" s="27" t="inlineStr">
        <is>
          <t>Data shown</t>
        </is>
      </c>
      <c r="F21" s="27" t="inlineStr">
        <is>
          <t>Check every customer-facing page.</t>
        </is>
      </c>
      <c r="G21" s="27" t="inlineStr">
        <is>
          <t>No other customer's data, no staff notes, no internal fields.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</sheetData>
  <autoFilter ref="A3:M21"/>
  <conditionalFormatting sqref="J4:J21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21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21">
    <cfRule type="cellIs" priority="6" operator="equal" dxfId="6">
      <formula>"P1"</formula>
    </cfRule>
  </conditionalFormatting>
  <dataValidations count="1">
    <dataValidation sqref="H4:I21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sign-in, dashboard and navigation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ADM-01</t>
        </is>
      </c>
      <c r="B4" s="21" t="inlineStr">
        <is>
          <t>P1</t>
        </is>
      </c>
      <c r="C4" s="22" t="inlineStr">
        <is>
          <t>Any</t>
        </is>
      </c>
      <c r="D4" s="22" t="inlineStr">
        <is>
          <t>Sign-in</t>
        </is>
      </c>
      <c r="E4" s="22" t="inlineStr">
        <is>
          <t>Sign in with email and password</t>
        </is>
      </c>
      <c r="F4" s="22" t="inlineStr">
        <is>
          <t>Open the admin address; sign in with a valid account.</t>
        </is>
      </c>
      <c r="G4" s="22" t="inlineStr">
        <is>
          <t>Lands on Home. Wrong password gives a plain error, no hint which part was wrong.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ADM-02</t>
        </is>
      </c>
      <c r="B5" s="26" t="inlineStr">
        <is>
          <t>P1</t>
        </is>
      </c>
      <c r="C5" s="27" t="inlineStr">
        <is>
          <t>Team member</t>
        </is>
      </c>
      <c r="D5" s="27" t="inlineStr">
        <is>
          <t>Sign-in</t>
        </is>
      </c>
      <c r="E5" s="27" t="inlineStr">
        <is>
          <t>First-time / forgot password</t>
        </is>
      </c>
      <c r="F5" s="27" t="inlineStr">
        <is>
          <t>Use 'First time here, or forgot your password?'; get the code by email; set a password.</t>
        </is>
      </c>
      <c r="G5" s="27" t="inlineStr">
        <is>
          <t>Code arrives within a minute; password rules enforced (10+ characters); can sign in after.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ADM-03</t>
        </is>
      </c>
      <c r="B6" s="21" t="inlineStr">
        <is>
          <t>P1</t>
        </is>
      </c>
      <c r="C6" s="22" t="inlineStr">
        <is>
          <t>Team member</t>
        </is>
      </c>
      <c r="D6" s="22" t="inlineStr">
        <is>
          <t>Sign-in</t>
        </is>
      </c>
      <c r="E6" s="22" t="inlineStr">
        <is>
          <t>Two-factor sign-in</t>
        </is>
      </c>
      <c r="F6" s="22" t="inlineStr">
        <is>
          <t>Turn on two-factor in Security; sign out; sign in again.</t>
        </is>
      </c>
      <c r="G6" s="22" t="inlineStr">
        <is>
          <t>Asks for the authenticator code; wrong code refused; right code signs in.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ADM-04</t>
        </is>
      </c>
      <c r="B7" s="26" t="inlineStr">
        <is>
          <t>P1</t>
        </is>
      </c>
      <c r="C7" s="27" t="inlineStr">
        <is>
          <t>Team member</t>
        </is>
      </c>
      <c r="D7" s="27" t="inlineStr">
        <is>
          <t>Sign-in</t>
        </is>
      </c>
      <c r="E7" s="27" t="inlineStr">
        <is>
          <t>Session end</t>
        </is>
      </c>
      <c r="F7" s="27" t="inlineStr">
        <is>
          <t>Sign out; press Back.</t>
        </is>
      </c>
      <c r="G7" s="27" t="inlineStr">
        <is>
          <t>Cannot see admin pages; redirected to sign-in.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ADM-05</t>
        </is>
      </c>
      <c r="B8" s="21" t="inlineStr">
        <is>
          <t>P1</t>
        </is>
      </c>
      <c r="C8" s="22" t="inlineStr">
        <is>
          <t>Team member</t>
        </is>
      </c>
      <c r="D8" s="22" t="inlineStr">
        <is>
          <t>Sign-in</t>
        </is>
      </c>
      <c r="E8" s="22" t="inlineStr">
        <is>
          <t>Pages need sign-in</t>
        </is>
      </c>
      <c r="F8" s="22" t="inlineStr">
        <is>
          <t>Open /orders, /products, /pos in a private window.</t>
        </is>
      </c>
      <c r="G8" s="22" t="inlineStr">
        <is>
          <t>All redirect to sign-in. No data visible.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ADM-06</t>
        </is>
      </c>
      <c r="B9" s="26" t="inlineStr">
        <is>
          <t>P1</t>
        </is>
      </c>
      <c r="C9" s="27" t="inlineStr">
        <is>
          <t>Team member</t>
        </is>
      </c>
      <c r="D9" s="27" t="inlineStr">
        <is>
          <t>/join/&lt;token&gt;</t>
        </is>
      </c>
      <c r="E9" s="27" t="inlineStr">
        <is>
          <t>Invite acceptance</t>
        </is>
      </c>
      <c r="F9" s="27" t="inlineStr">
        <is>
          <t>Invite a new person; open their link; set name and password.</t>
        </is>
      </c>
      <c r="G9" s="27" t="inlineStr">
        <is>
          <t>Joined with the invited role; link cannot be used twice or after expiry.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ADM-07</t>
        </is>
      </c>
      <c r="B10" s="21" t="inlineStr">
        <is>
          <t>P2</t>
        </is>
      </c>
      <c r="C10" s="22" t="inlineStr">
        <is>
          <t>Team member</t>
        </is>
      </c>
      <c r="D10" s="22" t="inlineStr">
        <is>
          <t>/choose-store</t>
        </is>
      </c>
      <c r="E10" s="22" t="inlineStr">
        <is>
          <t>Several stores</t>
        </is>
      </c>
      <c r="F10" s="22" t="inlineStr">
        <is>
          <t>Sign in with an account on two stores.</t>
        </is>
      </c>
      <c r="G10" s="22" t="inlineStr">
        <is>
          <t>Choose-store page; each opens its own store only.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ADM-08</t>
        </is>
      </c>
      <c r="B11" s="26" t="inlineStr">
        <is>
          <t>P1</t>
        </is>
      </c>
      <c r="C11" s="27" t="inlineStr">
        <is>
          <t>Store owner</t>
        </is>
      </c>
      <c r="D11" s="27" t="inlineStr">
        <is>
          <t>Plan</t>
        </is>
      </c>
      <c r="E11" s="27" t="inlineStr">
        <is>
          <t>Locked store</t>
        </is>
      </c>
      <c r="F11" s="27" t="inlineStr">
        <is>
          <t>Let a trial expire / suspend a store in Platform admin.</t>
        </is>
      </c>
      <c r="G11" s="27" t="inlineStr">
        <is>
          <t>Admin shows 'See plans and pay'; no order or product work possible.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ADM-09</t>
        </is>
      </c>
      <c r="B12" s="21" t="inlineStr">
        <is>
          <t>P1</t>
        </is>
      </c>
      <c r="C12" s="22" t="inlineStr">
        <is>
          <t>Store owner</t>
        </is>
      </c>
      <c r="D12" s="22" t="inlineStr">
        <is>
          <t>/</t>
        </is>
      </c>
      <c r="E12" s="22" t="inlineStr">
        <is>
          <t>Dashboard numbers</t>
        </is>
      </c>
      <c r="F12" s="22" t="inlineStr">
        <is>
          <t>Compare sales today, orders today, to pack, payments to check with the Orders list.</t>
        </is>
      </c>
      <c r="G12" s="22" t="inlineStr">
        <is>
          <t>Numbers match the lists. Date ranges (today/7/30) change them correctly (Dhaka time).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ADM-10</t>
        </is>
      </c>
      <c r="B13" s="26" t="inlineStr">
        <is>
          <t>P2</t>
        </is>
      </c>
      <c r="C13" s="27" t="inlineStr">
        <is>
          <t>Store owner</t>
        </is>
      </c>
      <c r="D13" s="27" t="inlineStr">
        <is>
          <t>/</t>
        </is>
      </c>
      <c r="E13" s="27" t="inlineStr">
        <is>
          <t>Dashboard shortcuts</t>
        </is>
      </c>
      <c r="F13" s="27" t="inlineStr">
        <is>
          <t>Press each card/link on the dashboard.</t>
        </is>
      </c>
      <c r="G13" s="27" t="inlineStr">
        <is>
          <t>Each opens the right filtered page.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ADM-11</t>
        </is>
      </c>
      <c r="B14" s="21" t="inlineStr">
        <is>
          <t>P2</t>
        </is>
      </c>
      <c r="C14" s="22" t="inlineStr">
        <is>
          <t>Store owner</t>
        </is>
      </c>
      <c r="D14" s="22" t="inlineStr">
        <is>
          <t>/</t>
        </is>
      </c>
      <c r="E14" s="22" t="inlineStr">
        <is>
          <t>Setup checklist</t>
        </is>
      </c>
      <c r="F14" s="22" t="inlineStr">
        <is>
          <t>New store: follow 'Finish setting up'.</t>
        </is>
      </c>
      <c r="G14" s="22" t="inlineStr">
        <is>
          <t>Items tick off as done; links open the right screens.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ADM-12</t>
        </is>
      </c>
      <c r="B15" s="26" t="inlineStr">
        <is>
          <t>P2</t>
        </is>
      </c>
      <c r="C15" s="27" t="inlineStr">
        <is>
          <t>Any</t>
        </is>
      </c>
      <c r="D15" s="27" t="inlineStr">
        <is>
          <t>Top bar</t>
        </is>
      </c>
      <c r="E15" s="27" t="inlineStr">
        <is>
          <t>Search</t>
        </is>
      </c>
      <c r="F15" s="27" t="inlineStr">
        <is>
          <t>Use the top-bar search for an order number, customer, product.</t>
        </is>
      </c>
      <c r="G15" s="27" t="inlineStr">
        <is>
          <t>Results list; each result opens the right record.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ADM-13</t>
        </is>
      </c>
      <c r="B16" s="21" t="inlineStr">
        <is>
          <t>P2</t>
        </is>
      </c>
      <c r="C16" s="22" t="inlineStr">
        <is>
          <t>Any</t>
        </is>
      </c>
      <c r="D16" s="22" t="inlineStr">
        <is>
          <t>Top bar</t>
        </is>
      </c>
      <c r="E16" s="22" t="inlineStr">
        <is>
          <t>Notifications bell</t>
        </is>
      </c>
      <c r="F16" s="22" t="inlineStr">
        <is>
          <t>Place an order; check the bell.</t>
        </is>
      </c>
      <c r="G16" s="22" t="inlineStr">
        <is>
          <t>New-order notice appears; clears when read.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ADM-14</t>
        </is>
      </c>
      <c r="B17" s="26" t="inlineStr">
        <is>
          <t>P2</t>
        </is>
      </c>
      <c r="C17" s="27" t="inlineStr">
        <is>
          <t>Any</t>
        </is>
      </c>
      <c r="D17" s="27" t="inlineStr">
        <is>
          <t>Menu</t>
        </is>
      </c>
      <c r="E17" s="27" t="inlineStr">
        <is>
          <t>Navigation shows only allowed items</t>
        </is>
      </c>
      <c r="F17" s="27" t="inlineStr">
        <is>
          <t>Sign in as packer, support, content editor, manager.</t>
        </is>
      </c>
      <c r="G17" s="27" t="inlineStr">
        <is>
          <t>Menu shows only the areas that role may use (see Roles sheet).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ADM-15</t>
        </is>
      </c>
      <c r="B18" s="21" t="inlineStr">
        <is>
          <t>P2</t>
        </is>
      </c>
      <c r="C18" s="22" t="inlineStr">
        <is>
          <t>Any</t>
        </is>
      </c>
      <c r="D18" s="22" t="inlineStr">
        <is>
          <t>Phone</t>
        </is>
      </c>
      <c r="E18" s="22" t="inlineStr">
        <is>
          <t>Bottom navigation</t>
        </is>
      </c>
      <c r="F18" s="22" t="inlineStr">
        <is>
          <t>On 390px check Home, Orders, Products, Customers, More.</t>
        </is>
      </c>
      <c r="G18" s="22" t="inlineStr">
        <is>
          <t>All work; payments-to-check badge on Orders; More lists everything else.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ADM-16</t>
        </is>
      </c>
      <c r="B19" s="26" t="inlineStr">
        <is>
          <t>P2</t>
        </is>
      </c>
      <c r="C19" s="27" t="inlineStr">
        <is>
          <t>Any</t>
        </is>
      </c>
      <c r="D19" s="27" t="inlineStr">
        <is>
          <t>Appearance</t>
        </is>
      </c>
      <c r="E19" s="27" t="inlineStr">
        <is>
          <t>Light / dark / auto</t>
        </is>
      </c>
      <c r="F19" s="27" t="inlineStr">
        <is>
          <t>Switch in sidebar or More.</t>
        </is>
      </c>
      <c r="G19" s="27" t="inlineStr">
        <is>
          <t>Every screen readable in both; choice remembered.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ADM-17</t>
        </is>
      </c>
      <c r="B20" s="21" t="inlineStr">
        <is>
          <t>P2</t>
        </is>
      </c>
      <c r="C20" s="22" t="inlineStr">
        <is>
          <t>Any</t>
        </is>
      </c>
      <c r="D20" s="22" t="inlineStr">
        <is>
          <t>Install</t>
        </is>
      </c>
      <c r="E20" s="22" t="inlineStr">
        <is>
          <t>Install as an app (PWA)</t>
        </is>
      </c>
      <c r="F20" s="22" t="inlineStr">
        <is>
          <t>On Android Chrome use Install.</t>
        </is>
      </c>
      <c r="G20" s="22" t="inlineStr">
        <is>
          <t>Installs with icon; opens full screen; offline page when offline.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ADM-18</t>
        </is>
      </c>
      <c r="B21" s="26" t="inlineStr">
        <is>
          <t>P3</t>
        </is>
      </c>
      <c r="C21" s="27" t="inlineStr">
        <is>
          <t>Any</t>
        </is>
      </c>
      <c r="D21" s="27" t="inlineStr">
        <is>
          <t>Sidebar</t>
        </is>
      </c>
      <c r="E21" s="27" t="inlineStr">
        <is>
          <t>Dev-only controls hidden</t>
        </is>
      </c>
      <c r="F21" s="27" t="inlineStr">
        <is>
          <t>Check production for any 'Dev: act as' switch.</t>
        </is>
      </c>
      <c r="G21" s="27" t="inlineStr">
        <is>
          <t>Not present in production.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ADM-19</t>
        </is>
      </c>
      <c r="B22" s="21" t="inlineStr">
        <is>
          <t>P2</t>
        </is>
      </c>
      <c r="C22" s="22" t="inlineStr">
        <is>
          <t>Any</t>
        </is>
      </c>
      <c r="D22" s="22" t="inlineStr">
        <is>
          <t>/ui-kit</t>
        </is>
      </c>
      <c r="E22" s="22" t="inlineStr">
        <is>
          <t>Internal pages hidden</t>
        </is>
      </c>
      <c r="F22" s="22" t="inlineStr">
        <is>
          <t>Try /ui-kit on production.</t>
        </is>
      </c>
      <c r="G22" s="22" t="inlineStr">
        <is>
          <t>Not reachable by customers; only for team if kept.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</sheetData>
  <autoFilter ref="A3:M22"/>
  <conditionalFormatting sqref="J4:J22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22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22">
    <cfRule type="cellIs" priority="6" operator="equal" dxfId="6">
      <formula>"P1"</formula>
    </cfRule>
  </conditionalFormatting>
  <dataValidations count="1">
    <dataValidation sqref="H4:I22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55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orders, shipping, printing, returns, fraud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ORD-01</t>
        </is>
      </c>
      <c r="B4" s="21" t="inlineStr">
        <is>
          <t>P1</t>
        </is>
      </c>
      <c r="C4" s="22" t="inlineStr">
        <is>
          <t>Owner</t>
        </is>
      </c>
      <c r="D4" s="22" t="inlineStr">
        <is>
          <t>/orders</t>
        </is>
      </c>
      <c r="E4" s="22" t="inlineStr">
        <is>
          <t>Orders list and tabs</t>
        </is>
      </c>
      <c r="F4" s="22" t="inlineStr">
        <is>
          <t>Open Orders; click each tab (All, New, Check payment, High risk, To pack, Shipped, Delivered, Returns, Cancelled).</t>
        </is>
      </c>
      <c r="G4" s="22" t="inlineStr">
        <is>
          <t>Counts match lists; each tab shows the right statuses only.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ORD-02</t>
        </is>
      </c>
      <c r="B5" s="26" t="inlineStr">
        <is>
          <t>P1</t>
        </is>
      </c>
      <c r="C5" s="27" t="inlineStr">
        <is>
          <t>Owner</t>
        </is>
      </c>
      <c r="D5" s="27" t="inlineStr">
        <is>
          <t>/orders</t>
        </is>
      </c>
      <c r="E5" s="27" t="inlineStr">
        <is>
          <t>Search</t>
        </is>
      </c>
      <c r="F5" s="27" t="inlineStr">
        <is>
          <t>Search order number, customer name, last 4+ digits of phone.</t>
        </is>
      </c>
      <c r="G5" s="27" t="inlineStr">
        <is>
          <t>Finds the right order; % and _ act as normal characters.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ORD-03</t>
        </is>
      </c>
      <c r="B6" s="21" t="inlineStr">
        <is>
          <t>P2</t>
        </is>
      </c>
      <c r="C6" s="22" t="inlineStr">
        <is>
          <t>Owner</t>
        </is>
      </c>
      <c r="D6" s="22" t="inlineStr">
        <is>
          <t>/orders</t>
        </is>
      </c>
      <c r="E6" s="22" t="inlineStr">
        <is>
          <t>Filters</t>
        </is>
      </c>
      <c r="F6" s="22" t="inlineStr">
        <is>
          <t>Use payment, courier, date, district, label filters; combine them.</t>
        </is>
      </c>
      <c r="G6" s="22" t="inlineStr">
        <is>
          <t>Results narrow correctly; clearing restores all; filters survive paging.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ORD-04</t>
        </is>
      </c>
      <c r="B7" s="26" t="inlineStr">
        <is>
          <t>P2</t>
        </is>
      </c>
      <c r="C7" s="27" t="inlineStr">
        <is>
          <t>Owner</t>
        </is>
      </c>
      <c r="D7" s="27" t="inlineStr">
        <is>
          <t>/orders</t>
        </is>
      </c>
      <c r="E7" s="27" t="inlineStr">
        <is>
          <t>Paging</t>
        </is>
      </c>
      <c r="F7" s="27" t="inlineStr">
        <is>
          <t>With more than 25 orders go to page 2.</t>
        </is>
      </c>
      <c r="G7" s="27" t="inlineStr">
        <is>
          <t>Right orders, count text correct, filters kept.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ORD-05</t>
        </is>
      </c>
      <c r="B8" s="21" t="inlineStr">
        <is>
          <t>P2</t>
        </is>
      </c>
      <c r="C8" s="22" t="inlineStr">
        <is>
          <t>Owner</t>
        </is>
      </c>
      <c r="D8" s="22" t="inlineStr">
        <is>
          <t>/orders</t>
        </is>
      </c>
      <c r="E8" s="22" t="inlineStr">
        <is>
          <t>Quick view</t>
        </is>
      </c>
      <c r="F8" s="22" t="inlineStr">
        <is>
          <t>Press Quick view on a row.</t>
        </is>
      </c>
      <c r="G8" s="22" t="inlineStr">
        <is>
          <t>Drawer shows items, customer, payment; closes cleanly.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ORD-06</t>
        </is>
      </c>
      <c r="B9" s="26" t="inlineStr">
        <is>
          <t>P1</t>
        </is>
      </c>
      <c r="C9" s="27" t="inlineStr">
        <is>
          <t>Owner</t>
        </is>
      </c>
      <c r="D9" s="27" t="inlineStr">
        <is>
          <t>/orders</t>
        </is>
      </c>
      <c r="E9" s="27" t="inlineStr">
        <is>
          <t>Bulk mark as packed</t>
        </is>
      </c>
      <c r="F9" s="27" t="inlineStr">
        <is>
          <t>Select 3 confirmed orders; Mark selected as packed.</t>
        </is>
      </c>
      <c r="G9" s="27" t="inlineStr">
        <is>
          <t>All move to 'being packed'; message says how many; non-confirmed ones skipped and counted.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ORD-07</t>
        </is>
      </c>
      <c r="B10" s="21" t="inlineStr">
        <is>
          <t>P1</t>
        </is>
      </c>
      <c r="C10" s="22" t="inlineStr">
        <is>
          <t>Owner</t>
        </is>
      </c>
      <c r="D10" s="22" t="inlineStr">
        <is>
          <t>/orders</t>
        </is>
      </c>
      <c r="E10" s="22" t="inlineStr">
        <is>
          <t>Bulk confirm</t>
        </is>
      </c>
      <c r="F10" s="22" t="inlineStr">
        <is>
          <t>Select new orders; Confirm selected.</t>
        </is>
      </c>
      <c r="G10" s="22" t="inlineStr">
        <is>
          <t>Confirmed; message '2 confirmed'; skipped ones explained.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ORD-08</t>
        </is>
      </c>
      <c r="B11" s="26" t="inlineStr">
        <is>
          <t>P1</t>
        </is>
      </c>
      <c r="C11" s="27" t="inlineStr">
        <is>
          <t>Owner</t>
        </is>
      </c>
      <c r="D11" s="27" t="inlineStr">
        <is>
          <t>/orders</t>
        </is>
      </c>
      <c r="E11" s="27" t="inlineStr">
        <is>
          <t>Bulk cancel needs a reason</t>
        </is>
      </c>
      <c r="F11" s="27" t="inlineStr">
        <is>
          <t>Select orders; Cancel selected without a reason, then with one.</t>
        </is>
      </c>
      <c r="G11" s="27" t="inlineStr">
        <is>
          <t>Without: refused. With: cancelled, stock returns, reason on each timeline.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ORD-09</t>
        </is>
      </c>
      <c r="B12" s="21" t="inlineStr">
        <is>
          <t>P1</t>
        </is>
      </c>
      <c r="C12" s="22" t="inlineStr">
        <is>
          <t>Owner</t>
        </is>
      </c>
      <c r="D12" s="22" t="inlineStr">
        <is>
          <t>/orders</t>
        </is>
      </c>
      <c r="E12" s="22" t="inlineStr">
        <is>
          <t>Bulk book courier</t>
        </is>
      </c>
      <c r="F12" s="22" t="inlineStr">
        <is>
          <t>Select to-pack orders; choose courier; Book courier for selected.</t>
        </is>
      </c>
      <c r="G12" s="22" t="inlineStr">
        <is>
          <t>Booked with tracking; failures reported with reason.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ORD-10</t>
        </is>
      </c>
      <c r="B13" s="26" t="inlineStr">
        <is>
          <t>P2</t>
        </is>
      </c>
      <c r="C13" s="27" t="inlineStr">
        <is>
          <t>Owner</t>
        </is>
      </c>
      <c r="D13" s="27" t="inlineStr">
        <is>
          <t>/orders</t>
        </is>
      </c>
      <c r="E13" s="27" t="inlineStr">
        <is>
          <t>Bulk print</t>
        </is>
      </c>
      <c r="F13" s="27" t="inlineStr">
        <is>
          <t>Print packing slips / invoices for selected.</t>
        </is>
      </c>
      <c r="G13" s="27" t="inlineStr">
        <is>
          <t>New tab with all selected documents; print preview paginates one per page.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ORD-11</t>
        </is>
      </c>
      <c r="B14" s="21" t="inlineStr">
        <is>
          <t>P1</t>
        </is>
      </c>
      <c r="C14" s="22" t="inlineStr">
        <is>
          <t>Owner</t>
        </is>
      </c>
      <c r="D14" s="22" t="inlineStr">
        <is>
          <t>/orders</t>
        </is>
      </c>
      <c r="E14" s="22" t="inlineStr">
        <is>
          <t>Export CSV</t>
        </is>
      </c>
      <c r="F14" s="22" t="inlineStr">
        <is>
          <t>Press Export CSV with and without filters.</t>
        </is>
      </c>
      <c r="G14" s="22" t="inlineStr">
        <is>
          <t>File downloads; one row per item; respects filters; opens in Excel with Bangla correct; a name starting with = shows as text.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ORD-12</t>
        </is>
      </c>
      <c r="B15" s="26" t="inlineStr">
        <is>
          <t>P1</t>
        </is>
      </c>
      <c r="C15" s="27" t="inlineStr">
        <is>
          <t>Owner</t>
        </is>
      </c>
      <c r="D15" s="27" t="inlineStr">
        <is>
          <t>/orders</t>
        </is>
      </c>
      <c r="E15" s="27" t="inlineStr">
        <is>
          <t>Labels</t>
        </is>
      </c>
      <c r="F15" s="27" t="inlineStr">
        <is>
          <t>Add 'gift' and 'call first' on an order; filter by label.</t>
        </is>
      </c>
      <c r="G15" s="27" t="inlineStr">
        <is>
          <t>Pills show on list; filter works; timeline records it.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ORD-13</t>
        </is>
      </c>
      <c r="B16" s="21" t="inlineStr">
        <is>
          <t>P1</t>
        </is>
      </c>
      <c r="C16" s="22" t="inlineStr">
        <is>
          <t>Owner</t>
        </is>
      </c>
      <c r="D16" s="22" t="inlineStr">
        <is>
          <t>/orders/check</t>
        </is>
      </c>
      <c r="E16" s="22" t="inlineStr">
        <is>
          <t>Payment check desk</t>
        </is>
      </c>
      <c r="F16" s="22" t="inlineStr">
        <is>
          <t>Open 'Check them one by one' on Check payment tab.</t>
        </is>
      </c>
      <c r="G16" s="22" t="inlineStr">
        <is>
          <t>Shows method, amount, TrxID, sender; Skip, Confirm, Not received work; progress 'N of M'.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ORD-14</t>
        </is>
      </c>
      <c r="B17" s="26" t="inlineStr">
        <is>
          <t>P1</t>
        </is>
      </c>
      <c r="C17" s="27" t="inlineStr">
        <is>
          <t>Owner</t>
        </is>
      </c>
      <c r="D17" s="27" t="inlineStr">
        <is>
          <t>/orders/&lt;id&gt;</t>
        </is>
      </c>
      <c r="E17" s="27" t="inlineStr">
        <is>
          <t>Confirm bKash/Nagad payment</t>
        </is>
      </c>
      <c r="F17" s="27" t="inlineStr">
        <is>
          <t>On a bKash order press 'I received it'.</t>
        </is>
      </c>
      <c r="G17" s="27" t="inlineStr">
        <is>
          <t>Payment Paid; order moves to To pack; timeline names who confirmed; customer SMS (if on).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ORD-15</t>
        </is>
      </c>
      <c r="B18" s="21" t="inlineStr">
        <is>
          <t>P1</t>
        </is>
      </c>
      <c r="C18" s="22" t="inlineStr">
        <is>
          <t>Owner</t>
        </is>
      </c>
      <c r="D18" s="22" t="inlineStr">
        <is>
          <t>/orders/&lt;id&gt;</t>
        </is>
      </c>
      <c r="E18" s="22" t="inlineStr">
        <is>
          <t>Reject payment</t>
        </is>
      </c>
      <c r="F18" s="22" t="inlineStr">
        <is>
          <t>Press 'Payment not received' with a reason.</t>
        </is>
      </c>
      <c r="G18" s="22" t="inlineStr">
        <is>
          <t>Payment Failed; TrxID stays recorded so it cannot be reused; reason on timeline.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ORD-16</t>
        </is>
      </c>
      <c r="B19" s="26" t="inlineStr">
        <is>
          <t>P2</t>
        </is>
      </c>
      <c r="C19" s="27" t="inlineStr">
        <is>
          <t>Owner</t>
        </is>
      </c>
      <c r="D19" s="27" t="inlineStr">
        <is>
          <t>/orders/&lt;id&gt;</t>
        </is>
      </c>
      <c r="E19" s="27" t="inlineStr">
        <is>
          <t>Duplicate TrxID warning</t>
        </is>
      </c>
      <c r="F19" s="27" t="inlineStr">
        <is>
          <t>Open an order whose TrxID appears on another.</t>
        </is>
      </c>
      <c r="G19" s="27" t="inlineStr">
        <is>
          <t>Red warning names the other order.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ORD-17</t>
        </is>
      </c>
      <c r="B20" s="21" t="inlineStr">
        <is>
          <t>P1</t>
        </is>
      </c>
      <c r="C20" s="22" t="inlineStr">
        <is>
          <t>Owner</t>
        </is>
      </c>
      <c r="D20" s="22" t="inlineStr">
        <is>
          <t>/orders/&lt;id&gt;</t>
        </is>
      </c>
      <c r="E20" s="22" t="inlineStr">
        <is>
          <t>Order detail completeness</t>
        </is>
      </c>
      <c r="F20" s="22" t="inlineStr">
        <is>
          <t>Open any order.</t>
        </is>
      </c>
      <c r="G20" s="22" t="inlineStr">
        <is>
          <t>Items, totals (delivery, COD fee, discounts), customer, address, payment, courier, risk, timeline all present and correct.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ORD-18</t>
        </is>
      </c>
      <c r="B21" s="26" t="inlineStr">
        <is>
          <t>P1</t>
        </is>
      </c>
      <c r="C21" s="27" t="inlineStr">
        <is>
          <t>Owner</t>
        </is>
      </c>
      <c r="D21" s="27" t="inlineStr">
        <is>
          <t>/orders/&lt;id&gt;</t>
        </is>
      </c>
      <c r="E21" s="27" t="inlineStr">
        <is>
          <t>Status steps</t>
        </is>
      </c>
      <c r="F21" s="27" t="inlineStr">
        <is>
          <t>Move New &gt; Confirmed &gt; Packed &gt; Shipped &gt; Delivered.</t>
        </is>
      </c>
      <c r="G21" s="27" t="inlineStr">
        <is>
          <t>Each step allowed once; the next-step button is always the right one; illegal moves refused.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ORD-19</t>
        </is>
      </c>
      <c r="B22" s="21" t="inlineStr">
        <is>
          <t>P1</t>
        </is>
      </c>
      <c r="C22" s="22" t="inlineStr">
        <is>
          <t>Owner</t>
        </is>
      </c>
      <c r="D22" s="22" t="inlineStr">
        <is>
          <t>/orders/&lt;id&gt;</t>
        </is>
      </c>
      <c r="E22" s="22" t="inlineStr">
        <is>
          <t>Cancel order</t>
        </is>
      </c>
      <c r="F22" s="22" t="inlineStr">
        <is>
          <t>Cancel a new and a packed order.</t>
        </is>
      </c>
      <c r="G22" s="22" t="inlineStr">
        <is>
          <t>Stock goes back; coupon use released; points returned; timeline notes reason.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ORD-20</t>
        </is>
      </c>
      <c r="B23" s="26" t="inlineStr">
        <is>
          <t>P1</t>
        </is>
      </c>
      <c r="C23" s="27" t="inlineStr">
        <is>
          <t>Owner</t>
        </is>
      </c>
      <c r="D23" s="27" t="inlineStr">
        <is>
          <t>/orders/&lt;id&gt;/items</t>
        </is>
      </c>
      <c r="E23" s="27" t="inlineStr">
        <is>
          <t>Change items</t>
        </is>
      </c>
      <c r="F23" s="27" t="inlineStr">
        <is>
          <t>Change a quantity, swap a size, add and remove an item.</t>
        </is>
      </c>
      <c r="G23" s="27" t="inlineStr">
        <is>
          <t>Stock, subtotal, delivery, coupon and total re-work; timeline lists changes.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  <row r="24">
      <c r="A24" s="21" t="inlineStr">
        <is>
          <t>ORD-21</t>
        </is>
      </c>
      <c r="B24" s="21" t="inlineStr">
        <is>
          <t>P1</t>
        </is>
      </c>
      <c r="C24" s="22" t="inlineStr">
        <is>
          <t>Owner</t>
        </is>
      </c>
      <c r="D24" s="22" t="inlineStr">
        <is>
          <t>/orders/&lt;id&gt;/items</t>
        </is>
      </c>
      <c r="E24" s="22" t="inlineStr">
        <is>
          <t>Paid order rule</t>
        </is>
      </c>
      <c r="F24" s="22" t="inlineStr">
        <is>
          <t>On a bKash order already sent, change quantity so total changes.</t>
        </is>
      </c>
      <c r="G24" s="22" t="inlineStr">
        <is>
          <t>Refused with plain words; swap at same price allowed.</t>
        </is>
      </c>
      <c r="H24" s="23" t="n"/>
      <c r="I24" s="23" t="n"/>
      <c r="J24" s="24">
        <f>IF(OR(H24="Fail",I24="Fail"),"Fail",IF(OR(H24="Blocked",I24="Blocked"),"Blocked",IF(AND(OR(H24="Pass",H24="N/A"),OR(I24="Pass",I24="N/A"),COUNTIF(H24:I24,"Pass")&gt;0),"Pass",IF(AND(H24="N/A",I24="N/A"),"N/A",IF(COUNTA(H24:I24)=0,"Not run","In progress")))))</f>
        <v/>
      </c>
      <c r="K24" s="25" t="n"/>
      <c r="L24" s="23" t="n"/>
      <c r="M24" s="25" t="n"/>
    </row>
    <row r="25">
      <c r="A25" s="26" t="inlineStr">
        <is>
          <t>ORD-22</t>
        </is>
      </c>
      <c r="B25" s="26" t="inlineStr">
        <is>
          <t>P2</t>
        </is>
      </c>
      <c r="C25" s="27" t="inlineStr">
        <is>
          <t>Owner</t>
        </is>
      </c>
      <c r="D25" s="27" t="inlineStr">
        <is>
          <t>/orders/&lt;id&gt;/items</t>
        </is>
      </c>
      <c r="E25" s="27" t="inlineStr">
        <is>
          <t>Locked orders</t>
        </is>
      </c>
      <c r="F25" s="27" t="inlineStr">
        <is>
          <t>Open Change items on shipped / courier-booked / loyalty-points orders.</t>
        </is>
      </c>
      <c r="G25" s="27" t="inlineStr">
        <is>
          <t>Locked with the reason.</t>
        </is>
      </c>
      <c r="H25" s="23" t="n"/>
      <c r="I25" s="23" t="n"/>
      <c r="J25" s="28">
        <f>IF(OR(H25="Fail",I25="Fail"),"Fail",IF(OR(H25="Blocked",I25="Blocked"),"Blocked",IF(AND(OR(H25="Pass",H25="N/A"),OR(I25="Pass",I25="N/A"),COUNTIF(H25:I25,"Pass")&gt;0),"Pass",IF(AND(H25="N/A",I25="N/A"),"N/A",IF(COUNTA(H25:I25)=0,"Not run","In progress")))))</f>
        <v/>
      </c>
      <c r="K25" s="25" t="n"/>
      <c r="L25" s="23" t="n"/>
      <c r="M25" s="25" t="n"/>
    </row>
    <row r="26">
      <c r="A26" s="21" t="inlineStr">
        <is>
          <t>ORD-23</t>
        </is>
      </c>
      <c r="B26" s="21" t="inlineStr">
        <is>
          <t>P2</t>
        </is>
      </c>
      <c r="C26" s="22" t="inlineStr">
        <is>
          <t>Owner</t>
        </is>
      </c>
      <c r="D26" s="22" t="inlineStr">
        <is>
          <t>/orders/&lt;id&gt;</t>
        </is>
      </c>
      <c r="E26" s="22" t="inlineStr">
        <is>
          <t>Edit address</t>
        </is>
      </c>
      <c r="F26" s="22" t="inlineStr">
        <is>
          <t>Edit address; change district.</t>
        </is>
      </c>
      <c r="G26" s="22" t="inlineStr">
        <is>
          <t>Delivery charge re-worked; refused for paid orders if total would change; refused after shipping.</t>
        </is>
      </c>
      <c r="H26" s="23" t="n"/>
      <c r="I26" s="23" t="n"/>
      <c r="J26" s="24">
        <f>IF(OR(H26="Fail",I26="Fail"),"Fail",IF(OR(H26="Blocked",I26="Blocked"),"Blocked",IF(AND(OR(H26="Pass",H26="N/A"),OR(I26="Pass",I26="N/A"),COUNTIF(H26:I26,"Pass")&gt;0),"Pass",IF(AND(H26="N/A",I26="N/A"),"N/A",IF(COUNTA(H26:I26)=0,"Not run","In progress")))))</f>
        <v/>
      </c>
      <c r="K26" s="25" t="n"/>
      <c r="L26" s="23" t="n"/>
      <c r="M26" s="25" t="n"/>
    </row>
    <row r="27">
      <c r="A27" s="26" t="inlineStr">
        <is>
          <t>ORD-24</t>
        </is>
      </c>
      <c r="B27" s="26" t="inlineStr">
        <is>
          <t>P1</t>
        </is>
      </c>
      <c r="C27" s="27" t="inlineStr">
        <is>
          <t>Owner</t>
        </is>
      </c>
      <c r="D27" s="27" t="inlineStr">
        <is>
          <t>/orders/&lt;id&gt;</t>
        </is>
      </c>
      <c r="E27" s="27" t="inlineStr">
        <is>
          <t>Call note</t>
        </is>
      </c>
      <c r="F27" s="27" t="inlineStr">
        <is>
          <t>Save a call note.</t>
        </is>
      </c>
      <c r="G27" s="27" t="inlineStr">
        <is>
          <t>Banner on the order and printed on the packing slip.</t>
        </is>
      </c>
      <c r="H27" s="23" t="n"/>
      <c r="I27" s="23" t="n"/>
      <c r="J27" s="28">
        <f>IF(OR(H27="Fail",I27="Fail"),"Fail",IF(OR(H27="Blocked",I27="Blocked"),"Blocked",IF(AND(OR(H27="Pass",H27="N/A"),OR(I27="Pass",I27="N/A"),COUNTIF(H27:I27,"Pass")&gt;0),"Pass",IF(AND(H27="N/A",I27="N/A"),"N/A",IF(COUNTA(H27:I27)=0,"Not run","In progress")))))</f>
        <v/>
      </c>
      <c r="K27" s="25" t="n"/>
      <c r="L27" s="23" t="n"/>
      <c r="M27" s="25" t="n"/>
    </row>
    <row r="28">
      <c r="A28" s="21" t="inlineStr">
        <is>
          <t>ORD-25</t>
        </is>
      </c>
      <c r="B28" s="21" t="inlineStr">
        <is>
          <t>P2</t>
        </is>
      </c>
      <c r="C28" s="22" t="inlineStr">
        <is>
          <t>Owner</t>
        </is>
      </c>
      <c r="D28" s="22" t="inlineStr">
        <is>
          <t>/orders/&lt;id&gt;</t>
        </is>
      </c>
      <c r="E28" s="22" t="inlineStr">
        <is>
          <t>Private note</t>
        </is>
      </c>
      <c r="F28" s="22" t="inlineStr">
        <is>
          <t>Post a team note.</t>
        </is>
      </c>
      <c r="G28" s="22" t="inlineStr">
        <is>
          <t>Appears on timeline with name and time.</t>
        </is>
      </c>
      <c r="H28" s="23" t="n"/>
      <c r="I28" s="23" t="n"/>
      <c r="J28" s="24">
        <f>IF(OR(H28="Fail",I28="Fail"),"Fail",IF(OR(H28="Blocked",I28="Blocked"),"Blocked",IF(AND(OR(H28="Pass",H28="N/A"),OR(I28="Pass",I28="N/A"),COUNTIF(H28:I28,"Pass")&gt;0),"Pass",IF(AND(H28="N/A",I28="N/A"),"N/A",IF(COUNTA(H28:I28)=0,"Not run","In progress")))))</f>
        <v/>
      </c>
      <c r="K28" s="25" t="n"/>
      <c r="L28" s="23" t="n"/>
      <c r="M28" s="25" t="n"/>
    </row>
    <row r="29">
      <c r="A29" s="26" t="inlineStr">
        <is>
          <t>ORD-26</t>
        </is>
      </c>
      <c r="B29" s="26" t="inlineStr">
        <is>
          <t>P2</t>
        </is>
      </c>
      <c r="C29" s="27" t="inlineStr">
        <is>
          <t>Owner</t>
        </is>
      </c>
      <c r="D29" s="27" t="inlineStr">
        <is>
          <t>/orders/&lt;id&gt;</t>
        </is>
      </c>
      <c r="E29" s="27" t="inlineStr">
        <is>
          <t>SMS the customer</t>
        </is>
      </c>
      <c r="F29" s="27" t="inlineStr">
        <is>
          <t>Send a custom SMS.</t>
        </is>
      </c>
      <c r="G29" s="27" t="inlineStr">
        <is>
          <t>Customer receives it; timeline shows text; one SMS credit used; refused if opted out or no credits.</t>
        </is>
      </c>
      <c r="H29" s="23" t="n"/>
      <c r="I29" s="23" t="n"/>
      <c r="J29" s="28">
        <f>IF(OR(H29="Fail",I29="Fail"),"Fail",IF(OR(H29="Blocked",I29="Blocked"),"Blocked",IF(AND(OR(H29="Pass",H29="N/A"),OR(I29="Pass",I29="N/A"),COUNTIF(H29:I29,"Pass")&gt;0),"Pass",IF(AND(H29="N/A",I29="N/A"),"N/A",IF(COUNTA(H29:I29)=0,"Not run","In progress")))))</f>
        <v/>
      </c>
      <c r="K29" s="25" t="n"/>
      <c r="L29" s="23" t="n"/>
      <c r="M29" s="25" t="n"/>
    </row>
    <row r="30">
      <c r="A30" s="21" t="inlineStr">
        <is>
          <t>ORD-27</t>
        </is>
      </c>
      <c r="B30" s="21" t="inlineStr">
        <is>
          <t>P1</t>
        </is>
      </c>
      <c r="C30" s="22" t="inlineStr">
        <is>
          <t>Owner</t>
        </is>
      </c>
      <c r="D30" s="22" t="inlineStr">
        <is>
          <t>/orders/&lt;id&gt;</t>
        </is>
      </c>
      <c r="E30" s="22" t="inlineStr">
        <is>
          <t>Hold / release for review</t>
        </is>
      </c>
      <c r="F30" s="22" t="inlineStr">
        <is>
          <t>On a risky order press Hold; then Release with a note.</t>
        </is>
      </c>
      <c r="G30" s="22" t="inlineStr">
        <is>
          <t>Held blocks courier booking; release re-enables; timeline records.</t>
        </is>
      </c>
      <c r="H30" s="23" t="n"/>
      <c r="I30" s="23" t="n"/>
      <c r="J30" s="24">
        <f>IF(OR(H30="Fail",I30="Fail"),"Fail",IF(OR(H30="Blocked",I30="Blocked"),"Blocked",IF(AND(OR(H30="Pass",H30="N/A"),OR(I30="Pass",I30="N/A"),COUNTIF(H30:I30,"Pass")&gt;0),"Pass",IF(AND(H30="N/A",I30="N/A"),"N/A",IF(COUNTA(H30:I30)=0,"Not run","In progress")))))</f>
        <v/>
      </c>
      <c r="K30" s="25" t="n"/>
      <c r="L30" s="23" t="n"/>
      <c r="M30" s="25" t="n"/>
    </row>
    <row r="31">
      <c r="A31" s="26" t="inlineStr">
        <is>
          <t>ORD-28</t>
        </is>
      </c>
      <c r="B31" s="26" t="inlineStr">
        <is>
          <t>P1</t>
        </is>
      </c>
      <c r="C31" s="27" t="inlineStr">
        <is>
          <t>Owner</t>
        </is>
      </c>
      <c r="D31" s="27" t="inlineStr">
        <is>
          <t>/orders/&lt;id&gt;</t>
        </is>
      </c>
      <c r="E31" s="27" t="inlineStr">
        <is>
          <t>Block a number</t>
        </is>
      </c>
      <c r="F31" s="27" t="inlineStr">
        <is>
          <t>Block from the order with a reason.</t>
        </is>
      </c>
      <c r="G31" s="27" t="inlineStr">
        <is>
          <t>Number blocked; new orders refused; appears in Fraud &gt; Blocked.</t>
        </is>
      </c>
      <c r="H31" s="23" t="n"/>
      <c r="I31" s="23" t="n"/>
      <c r="J31" s="28">
        <f>IF(OR(H31="Fail",I31="Fail"),"Fail",IF(OR(H31="Blocked",I31="Blocked"),"Blocked",IF(AND(OR(H31="Pass",H31="N/A"),OR(I31="Pass",I31="N/A"),COUNTIF(H31:I31,"Pass")&gt;0),"Pass",IF(AND(H31="N/A",I31="N/A"),"N/A",IF(COUNTA(H31:I31)=0,"Not run","In progress")))))</f>
        <v/>
      </c>
      <c r="K31" s="25" t="n"/>
      <c r="L31" s="23" t="n"/>
      <c r="M31" s="25" t="n"/>
    </row>
    <row r="32">
      <c r="A32" s="21" t="inlineStr">
        <is>
          <t>ORD-29</t>
        </is>
      </c>
      <c r="B32" s="21" t="inlineStr">
        <is>
          <t>P1</t>
        </is>
      </c>
      <c r="C32" s="22" t="inlineStr">
        <is>
          <t>Owner</t>
        </is>
      </c>
      <c r="D32" s="22" t="inlineStr">
        <is>
          <t>/orders/&lt;id&gt;</t>
        </is>
      </c>
      <c r="E32" s="22" t="inlineStr">
        <is>
          <t>Book courier (Steadfast / Pathao / RedX)</t>
        </is>
      </c>
      <c r="F32" s="22" t="inlineStr">
        <is>
          <t>Choose courier, weight, note; Book.</t>
        </is>
      </c>
      <c r="G32" s="22" t="inlineStr">
        <is>
          <t>Consignment and tracking saved; status Shipped; courier panel shows live status.</t>
        </is>
      </c>
      <c r="H32" s="23" t="n"/>
      <c r="I32" s="23" t="n"/>
      <c r="J32" s="24">
        <f>IF(OR(H32="Fail",I32="Fail"),"Fail",IF(OR(H32="Blocked",I32="Blocked"),"Blocked",IF(AND(OR(H32="Pass",H32="N/A"),OR(I32="Pass",I32="N/A"),COUNTIF(H32:I32,"Pass")&gt;0),"Pass",IF(AND(H32="N/A",I32="N/A"),"N/A",IF(COUNTA(H32:I32)=0,"Not run","In progress")))))</f>
        <v/>
      </c>
      <c r="K32" s="25" t="n"/>
      <c r="L32" s="23" t="n"/>
      <c r="M32" s="25" t="n"/>
    </row>
    <row r="33">
      <c r="A33" s="26" t="inlineStr">
        <is>
          <t>ORD-30</t>
        </is>
      </c>
      <c r="B33" s="26" t="inlineStr">
        <is>
          <t>P2</t>
        </is>
      </c>
      <c r="C33" s="27" t="inlineStr">
        <is>
          <t>Owner</t>
        </is>
      </c>
      <c r="D33" s="27" t="inlineStr">
        <is>
          <t>/orders/&lt;id&gt;</t>
        </is>
      </c>
      <c r="E33" s="27" t="inlineStr">
        <is>
          <t>Courier status refresh</t>
        </is>
      </c>
      <c r="F33" s="27" t="inlineStr">
        <is>
          <t>Press 'Check status now'.</t>
        </is>
      </c>
      <c r="G33" s="27" t="inlineStr">
        <is>
          <t>Status updates; last checked time shows.</t>
        </is>
      </c>
      <c r="H33" s="23" t="n"/>
      <c r="I33" s="23" t="n"/>
      <c r="J33" s="28">
        <f>IF(OR(H33="Fail",I33="Fail"),"Fail",IF(OR(H33="Blocked",I33="Blocked"),"Blocked",IF(AND(OR(H33="Pass",H33="N/A"),OR(I33="Pass",I33="N/A"),COUNTIF(H33:I33,"Pass")&gt;0),"Pass",IF(AND(H33="N/A",I33="N/A"),"N/A",IF(COUNTA(H33:I33)=0,"Not run","In progress")))))</f>
        <v/>
      </c>
      <c r="K33" s="25" t="n"/>
      <c r="L33" s="23" t="n"/>
      <c r="M33" s="25" t="n"/>
    </row>
    <row r="34">
      <c r="A34" s="21" t="inlineStr">
        <is>
          <t>ORD-31</t>
        </is>
      </c>
      <c r="B34" s="21" t="inlineStr">
        <is>
          <t>P2</t>
        </is>
      </c>
      <c r="C34" s="22" t="inlineStr">
        <is>
          <t>Owner</t>
        </is>
      </c>
      <c r="D34" s="22" t="inlineStr">
        <is>
          <t>/orders/&lt;id&gt;</t>
        </is>
      </c>
      <c r="E34" s="22" t="inlineStr">
        <is>
          <t>Courier webhook / sync</t>
        </is>
      </c>
      <c r="F34" s="22" t="inlineStr">
        <is>
          <t>Let the courier mark delivered / returned.</t>
        </is>
      </c>
      <c r="G34" s="22" t="inlineStr">
        <is>
          <t>Order status follows within the sync period; COD collected recorded.</t>
        </is>
      </c>
      <c r="H34" s="23" t="n"/>
      <c r="I34" s="23" t="n"/>
      <c r="J34" s="24">
        <f>IF(OR(H34="Fail",I34="Fail"),"Fail",IF(OR(H34="Blocked",I34="Blocked"),"Blocked",IF(AND(OR(H34="Pass",H34="N/A"),OR(I34="Pass",I34="N/A"),COUNTIF(H34:I34,"Pass")&gt;0),"Pass",IF(AND(H34="N/A",I34="N/A"),"N/A",IF(COUNTA(H34:I34)=0,"Not run","In progress")))))</f>
        <v/>
      </c>
      <c r="K34" s="25" t="n"/>
      <c r="L34" s="23" t="n"/>
      <c r="M34" s="25" t="n"/>
    </row>
    <row r="35">
      <c r="A35" s="26" t="inlineStr">
        <is>
          <t>ORD-32</t>
        </is>
      </c>
      <c r="B35" s="26" t="inlineStr">
        <is>
          <t>P1</t>
        </is>
      </c>
      <c r="C35" s="27" t="inlineStr">
        <is>
          <t>Owner</t>
        </is>
      </c>
      <c r="D35" s="27" t="inlineStr">
        <is>
          <t>/orders/&lt;id&gt;</t>
        </is>
      </c>
      <c r="E35" s="27" t="inlineStr">
        <is>
          <t>Ship manually</t>
        </is>
      </c>
      <c r="F35" s="27" t="inlineStr">
        <is>
          <t>Use 'Hand over and mark shipped' with tracking code.</t>
        </is>
      </c>
      <c r="G35" s="27" t="inlineStr">
        <is>
          <t>Shipped; tracking code on the order and customer page.</t>
        </is>
      </c>
      <c r="H35" s="23" t="n"/>
      <c r="I35" s="23" t="n"/>
      <c r="J35" s="28">
        <f>IF(OR(H35="Fail",I35="Fail"),"Fail",IF(OR(H35="Blocked",I35="Blocked"),"Blocked",IF(AND(OR(H35="Pass",H35="N/A"),OR(I35="Pass",I35="N/A"),COUNTIF(H35:I35,"Pass")&gt;0),"Pass",IF(AND(H35="N/A",I35="N/A"),"N/A",IF(COUNTA(H35:I35)=0,"Not run","In progress")))))</f>
        <v/>
      </c>
      <c r="K35" s="25" t="n"/>
      <c r="L35" s="23" t="n"/>
      <c r="M35" s="25" t="n"/>
    </row>
    <row r="36">
      <c r="A36" s="21" t="inlineStr">
        <is>
          <t>ORD-33</t>
        </is>
      </c>
      <c r="B36" s="21" t="inlineStr">
        <is>
          <t>P1</t>
        </is>
      </c>
      <c r="C36" s="22" t="inlineStr">
        <is>
          <t>Owner</t>
        </is>
      </c>
      <c r="D36" s="22" t="inlineStr">
        <is>
          <t>/orders/&lt;id&gt;</t>
        </is>
      </c>
      <c r="E36" s="22" t="inlineStr">
        <is>
          <t>Mark delivered and returned</t>
        </is>
      </c>
      <c r="F36" s="22" t="inlineStr">
        <is>
          <t>Deliver one order; mark another returned (refused at door).</t>
        </is>
      </c>
      <c r="G36" s="22" t="inlineStr">
        <is>
          <t>Delivered: points unlock, spent updated. Returned: stock returns, buyer's record gets a failed delivery.</t>
        </is>
      </c>
      <c r="H36" s="23" t="n"/>
      <c r="I36" s="23" t="n"/>
      <c r="J36" s="24">
        <f>IF(OR(H36="Fail",I36="Fail"),"Fail",IF(OR(H36="Blocked",I36="Blocked"),"Blocked",IF(AND(OR(H36="Pass",H36="N/A"),OR(I36="Pass",I36="N/A"),COUNTIF(H36:I36,"Pass")&gt;0),"Pass",IF(AND(H36="N/A",I36="N/A"),"N/A",IF(COUNTA(H36:I36)=0,"Not run","In progress")))))</f>
        <v/>
      </c>
      <c r="K36" s="25" t="n"/>
      <c r="L36" s="23" t="n"/>
      <c r="M36" s="25" t="n"/>
    </row>
    <row r="37">
      <c r="A37" s="26" t="inlineStr">
        <is>
          <t>ORD-34</t>
        </is>
      </c>
      <c r="B37" s="26" t="inlineStr">
        <is>
          <t>P1</t>
        </is>
      </c>
      <c r="C37" s="27" t="inlineStr">
        <is>
          <t>Owner</t>
        </is>
      </c>
      <c r="D37" s="27" t="inlineStr">
        <is>
          <t>/orders/ship</t>
        </is>
      </c>
      <c r="E37" s="27" t="inlineStr">
        <is>
          <t>Book-by-one desk</t>
        </is>
      </c>
      <c r="F37" s="27" t="inlineStr">
        <is>
          <t>Open 'Book them one by one'.</t>
        </is>
      </c>
      <c r="G37" s="27" t="inlineStr">
        <is>
          <t>Steps through to-pack orders with address, weight, COD amount; Book and Skip work.</t>
        </is>
      </c>
      <c r="H37" s="23" t="n"/>
      <c r="I37" s="23" t="n"/>
      <c r="J37" s="28">
        <f>IF(OR(H37="Fail",I37="Fail"),"Fail",IF(OR(H37="Blocked",I37="Blocked"),"Blocked",IF(AND(OR(H37="Pass",H37="N/A"),OR(I37="Pass",I37="N/A"),COUNTIF(H37:I37,"Pass")&gt;0),"Pass",IF(AND(H37="N/A",I37="N/A"),"N/A",IF(COUNTA(H37:I37)=0,"Not run","In progress")))))</f>
        <v/>
      </c>
      <c r="K37" s="25" t="n"/>
      <c r="L37" s="23" t="n"/>
      <c r="M37" s="25" t="n"/>
    </row>
    <row r="38">
      <c r="A38" s="21" t="inlineStr">
        <is>
          <t>ORD-35</t>
        </is>
      </c>
      <c r="B38" s="21" t="inlineStr">
        <is>
          <t>P1</t>
        </is>
      </c>
      <c r="C38" s="22" t="inlineStr">
        <is>
          <t>Owner</t>
        </is>
      </c>
      <c r="D38" s="22" t="inlineStr">
        <is>
          <t>/orders/print</t>
        </is>
      </c>
      <c r="E38" s="22" t="inlineStr">
        <is>
          <t>Print: packing slip</t>
        </is>
      </c>
      <c r="F38" s="22" t="inlineStr">
        <is>
          <t>Print slip at A4, A5 and 80mm.</t>
        </is>
      </c>
      <c r="G38" s="22" t="inlineStr">
        <is>
          <t>Customer, address, items, COLLECT amount for COD only, call note, labels.</t>
        </is>
      </c>
      <c r="H38" s="23" t="n"/>
      <c r="I38" s="23" t="n"/>
      <c r="J38" s="24">
        <f>IF(OR(H38="Fail",I38="Fail"),"Fail",IF(OR(H38="Blocked",I38="Blocked"),"Blocked",IF(AND(OR(H38="Pass",H38="N/A"),OR(I38="Pass",I38="N/A"),COUNTIF(H38:I38,"Pass")&gt;0),"Pass",IF(AND(H38="N/A",I38="N/A"),"N/A",IF(COUNTA(H38:I38)=0,"Not run","In progress")))))</f>
        <v/>
      </c>
      <c r="K38" s="25" t="n"/>
      <c r="L38" s="23" t="n"/>
      <c r="M38" s="25" t="n"/>
    </row>
    <row r="39">
      <c r="A39" s="26" t="inlineStr">
        <is>
          <t>ORD-36</t>
        </is>
      </c>
      <c r="B39" s="26" t="inlineStr">
        <is>
          <t>P1</t>
        </is>
      </c>
      <c r="C39" s="27" t="inlineStr">
        <is>
          <t>Owner</t>
        </is>
      </c>
      <c r="D39" s="27" t="inlineStr">
        <is>
          <t>/orders/print</t>
        </is>
      </c>
      <c r="E39" s="27" t="inlineStr">
        <is>
          <t>Print: invoice</t>
        </is>
      </c>
      <c r="F39" s="27" t="inlineStr">
        <is>
          <t>Print invoice at each size.</t>
        </is>
      </c>
      <c r="G39" s="27" t="inlineStr">
        <is>
          <t>Right totals, TrxID for bKash, logo, footer note, SKU/price options per Settings &gt; Invoices.</t>
        </is>
      </c>
      <c r="H39" s="23" t="n"/>
      <c r="I39" s="23" t="n"/>
      <c r="J39" s="28">
        <f>IF(OR(H39="Fail",I39="Fail"),"Fail",IF(OR(H39="Blocked",I39="Blocked"),"Blocked",IF(AND(OR(H39="Pass",H39="N/A"),OR(I39="Pass",I39="N/A"),COUNTIF(H39:I39,"Pass")&gt;0),"Pass",IF(AND(H39="N/A",I39="N/A"),"N/A",IF(COUNTA(H39:I39)=0,"Not run","In progress")))))</f>
        <v/>
      </c>
      <c r="K39" s="25" t="n"/>
      <c r="L39" s="23" t="n"/>
      <c r="M39" s="25" t="n"/>
    </row>
    <row r="40">
      <c r="A40" s="21" t="inlineStr">
        <is>
          <t>ORD-37</t>
        </is>
      </c>
      <c r="B40" s="21" t="inlineStr">
        <is>
          <t>P2</t>
        </is>
      </c>
      <c r="C40" s="22" t="inlineStr">
        <is>
          <t>Owner</t>
        </is>
      </c>
      <c r="D40" s="22" t="inlineStr">
        <is>
          <t>/orders/print</t>
        </is>
      </c>
      <c r="E40" s="22" t="inlineStr">
        <is>
          <t>Print: courier label</t>
        </is>
      </c>
      <c r="F40" s="22" t="inlineStr">
        <is>
          <t>Print label.</t>
        </is>
      </c>
      <c r="G40" s="22" t="inlineStr">
        <is>
          <t>PREPAID or COLLECT amount, order number, address.</t>
        </is>
      </c>
      <c r="H40" s="23" t="n"/>
      <c r="I40" s="23" t="n"/>
      <c r="J40" s="24">
        <f>IF(OR(H40="Fail",I40="Fail"),"Fail",IF(OR(H40="Blocked",I40="Blocked"),"Blocked",IF(AND(OR(H40="Pass",H40="N/A"),OR(I40="Pass",I40="N/A"),COUNTIF(H40:I40,"Pass")&gt;0),"Pass",IF(AND(H40="N/A",I40="N/A"),"N/A",IF(COUNTA(H40:I40)=0,"Not run","In progress")))))</f>
        <v/>
      </c>
      <c r="K40" s="25" t="n"/>
      <c r="L40" s="23" t="n"/>
      <c r="M40" s="25" t="n"/>
    </row>
    <row r="41">
      <c r="A41" s="26" t="inlineStr">
        <is>
          <t>ORD-38</t>
        </is>
      </c>
      <c r="B41" s="26" t="inlineStr">
        <is>
          <t>P2</t>
        </is>
      </c>
      <c r="C41" s="27" t="inlineStr">
        <is>
          <t>Owner</t>
        </is>
      </c>
      <c r="D41" s="27" t="inlineStr">
        <is>
          <t>/orders/print</t>
        </is>
      </c>
      <c r="E41" s="27" t="inlineStr">
        <is>
          <t>Printing logged</t>
        </is>
      </c>
      <c r="F41" s="27" t="inlineStr">
        <is>
          <t>Print then open the order.</t>
        </is>
      </c>
      <c r="G41" s="27" t="inlineStr">
        <is>
          <t>Timeline says printed.</t>
        </is>
      </c>
      <c r="H41" s="23" t="n"/>
      <c r="I41" s="23" t="n"/>
      <c r="J41" s="28">
        <f>IF(OR(H41="Fail",I41="Fail"),"Fail",IF(OR(H41="Blocked",I41="Blocked"),"Blocked",IF(AND(OR(H41="Pass",H41="N/A"),OR(I41="Pass",I41="N/A"),COUNTIF(H41:I41,"Pass")&gt;0),"Pass",IF(AND(H41="N/A",I41="N/A"),"N/A",IF(COUNTA(H41:I41)=0,"Not run","In progress")))))</f>
        <v/>
      </c>
      <c r="K41" s="25" t="n"/>
      <c r="L41" s="23" t="n"/>
      <c r="M41" s="25" t="n"/>
    </row>
    <row r="42">
      <c r="A42" s="21" t="inlineStr">
        <is>
          <t>ORD-39</t>
        </is>
      </c>
      <c r="B42" s="21" t="inlineStr">
        <is>
          <t>P1</t>
        </is>
      </c>
      <c r="C42" s="22" t="inlineStr">
        <is>
          <t>Owner</t>
        </is>
      </c>
      <c r="D42" s="22" t="inlineStr">
        <is>
          <t>/orders/new</t>
        </is>
      </c>
      <c r="E42" s="22" t="inlineStr">
        <is>
          <t>Quick order desk</t>
        </is>
      </c>
      <c r="F42" s="22" t="inlineStr">
        <is>
          <t>Key in a phone/WhatsApp/Messenger order: number, name, address, product, source.</t>
        </is>
      </c>
      <c r="G42" s="22" t="inlineStr">
        <is>
          <t>Order created with source tagged; total right; Ctrl+Enter starts the next.</t>
        </is>
      </c>
      <c r="H42" s="23" t="n"/>
      <c r="I42" s="23" t="n"/>
      <c r="J42" s="24">
        <f>IF(OR(H42="Fail",I42="Fail"),"Fail",IF(OR(H42="Blocked",I42="Blocked"),"Blocked",IF(AND(OR(H42="Pass",H42="N/A"),OR(I42="Pass",I42="N/A"),COUNTIF(H42:I42,"Pass")&gt;0),"Pass",IF(AND(H42="N/A",I42="N/A"),"N/A",IF(COUNTA(H42:I42)=0,"Not run","In progress")))))</f>
        <v/>
      </c>
      <c r="K42" s="25" t="n"/>
      <c r="L42" s="23" t="n"/>
      <c r="M42" s="25" t="n"/>
    </row>
    <row r="43">
      <c r="A43" s="26" t="inlineStr">
        <is>
          <t>ORD-40</t>
        </is>
      </c>
      <c r="B43" s="26" t="inlineStr">
        <is>
          <t>P2</t>
        </is>
      </c>
      <c r="C43" s="27" t="inlineStr">
        <is>
          <t>Owner</t>
        </is>
      </c>
      <c r="D43" s="27" t="inlineStr">
        <is>
          <t>/orders/new</t>
        </is>
      </c>
      <c r="E43" s="27" t="inlineStr">
        <is>
          <t>Paste a customer message</t>
        </is>
      </c>
      <c r="F43" s="27" t="inlineStr">
        <is>
          <t>Paste a Bangla/English message with name, phone, area, product.</t>
        </is>
      </c>
      <c r="G43" s="27" t="inlineStr">
        <is>
          <t>Form is pre-filled as suggestions; owner can correct.</t>
        </is>
      </c>
      <c r="H43" s="23" t="n"/>
      <c r="I43" s="23" t="n"/>
      <c r="J43" s="28">
        <f>IF(OR(H43="Fail",I43="Fail"),"Fail",IF(OR(H43="Blocked",I43="Blocked"),"Blocked",IF(AND(OR(H43="Pass",H43="N/A"),OR(I43="Pass",I43="N/A"),COUNTIF(H43:I43,"Pass")&gt;0),"Pass",IF(AND(H43="N/A",I43="N/A"),"N/A",IF(COUNTA(H43:I43)=0,"Not run","In progress")))))</f>
        <v/>
      </c>
      <c r="K43" s="25" t="n"/>
      <c r="L43" s="23" t="n"/>
      <c r="M43" s="25" t="n"/>
    </row>
    <row r="44">
      <c r="A44" s="21" t="inlineStr">
        <is>
          <t>ORD-41</t>
        </is>
      </c>
      <c r="B44" s="21" t="inlineStr">
        <is>
          <t>P2</t>
        </is>
      </c>
      <c r="C44" s="22" t="inlineStr">
        <is>
          <t>Owner</t>
        </is>
      </c>
      <c r="D44" s="22" t="inlineStr">
        <is>
          <t>/orders/new</t>
        </is>
      </c>
      <c r="E44" s="22" t="inlineStr">
        <is>
          <t>Returning customer</t>
        </is>
      </c>
      <c r="F44" s="22" t="inlineStr">
        <is>
          <t>Type a known number.</t>
        </is>
      </c>
      <c r="G44" s="22" t="inlineStr">
        <is>
          <t>Shows past orders, delivery success, 'Use saved address'; blocked number warns.</t>
        </is>
      </c>
      <c r="H44" s="23" t="n"/>
      <c r="I44" s="23" t="n"/>
      <c r="J44" s="24">
        <f>IF(OR(H44="Fail",I44="Fail"),"Fail",IF(OR(H44="Blocked",I44="Blocked"),"Blocked",IF(AND(OR(H44="Pass",H44="N/A"),OR(I44="Pass",I44="N/A"),COUNTIF(H44:I44,"Pass")&gt;0),"Pass",IF(AND(H44="N/A",I44="N/A"),"N/A",IF(COUNTA(H44:I44)=0,"Not run","In progress")))))</f>
        <v/>
      </c>
      <c r="K44" s="25" t="n"/>
      <c r="L44" s="23" t="n"/>
      <c r="M44" s="25" t="n"/>
    </row>
    <row r="45">
      <c r="A45" s="26" t="inlineStr">
        <is>
          <t>ORD-42</t>
        </is>
      </c>
      <c r="B45" s="26" t="inlineStr">
        <is>
          <t>P2</t>
        </is>
      </c>
      <c r="C45" s="27" t="inlineStr">
        <is>
          <t>Owner</t>
        </is>
      </c>
      <c r="D45" s="27" t="inlineStr">
        <is>
          <t>/orders/new</t>
        </is>
      </c>
      <c r="E45" s="27" t="inlineStr">
        <is>
          <t>Already paid by bKash</t>
        </is>
      </c>
      <c r="F45" s="27" t="inlineStr">
        <is>
          <t>Choose bKash and mark already paid.</t>
        </is>
      </c>
      <c r="G45" s="27" t="inlineStr">
        <is>
          <t>Order created Paid (TrxID optional); timeline shows payment recorded.</t>
        </is>
      </c>
      <c r="H45" s="23" t="n"/>
      <c r="I45" s="23" t="n"/>
      <c r="J45" s="28">
        <f>IF(OR(H45="Fail",I45="Fail"),"Fail",IF(OR(H45="Blocked",I45="Blocked"),"Blocked",IF(AND(OR(H45="Pass",H45="N/A"),OR(I45="Pass",I45="N/A"),COUNTIF(H45:I45,"Pass")&gt;0),"Pass",IF(AND(H45="N/A",I45="N/A"),"N/A",IF(COUNTA(H45:I45)=0,"Not run","In progress")))))</f>
        <v/>
      </c>
      <c r="K45" s="25" t="n"/>
      <c r="L45" s="23" t="n"/>
      <c r="M45" s="25" t="n"/>
    </row>
    <row r="46">
      <c r="A46" s="21" t="inlineStr">
        <is>
          <t>ORD-43</t>
        </is>
      </c>
      <c r="B46" s="21" t="inlineStr">
        <is>
          <t>P1</t>
        </is>
      </c>
      <c r="C46" s="22" t="inlineStr">
        <is>
          <t>Owner</t>
        </is>
      </c>
      <c r="D46" s="22" t="inlineStr">
        <is>
          <t>/orders/new</t>
        </is>
      </c>
      <c r="E46" s="22" t="inlineStr">
        <is>
          <t>Save as draft and get a link</t>
        </is>
      </c>
      <c r="F46" s="22" t="inlineStr">
        <is>
          <t>Press 'Save as a draft and get a link'.</t>
        </is>
      </c>
      <c r="G46" s="22" t="inlineStr">
        <is>
          <t>Link, copy and WhatsApp buttons; no order and no stock reserved yet.</t>
        </is>
      </c>
      <c r="H46" s="23" t="n"/>
      <c r="I46" s="23" t="n"/>
      <c r="J46" s="24">
        <f>IF(OR(H46="Fail",I46="Fail"),"Fail",IF(OR(H46="Blocked",I46="Blocked"),"Blocked",IF(AND(OR(H46="Pass",H46="N/A"),OR(I46="Pass",I46="N/A"),COUNTIF(H46:I46,"Pass")&gt;0),"Pass",IF(AND(H46="N/A",I46="N/A"),"N/A",IF(COUNTA(H46:I46)=0,"Not run","In progress")))))</f>
        <v/>
      </c>
      <c r="K46" s="25" t="n"/>
      <c r="L46" s="23" t="n"/>
      <c r="M46" s="25" t="n"/>
    </row>
    <row r="47">
      <c r="A47" s="26" t="inlineStr">
        <is>
          <t>ORD-44</t>
        </is>
      </c>
      <c r="B47" s="26" t="inlineStr">
        <is>
          <t>P2</t>
        </is>
      </c>
      <c r="C47" s="27" t="inlineStr">
        <is>
          <t>Owner</t>
        </is>
      </c>
      <c r="D47" s="27" t="inlineStr">
        <is>
          <t>/orders/drafts</t>
        </is>
      </c>
      <c r="E47" s="27" t="inlineStr">
        <is>
          <t>Draft list</t>
        </is>
      </c>
      <c r="F47" s="27" t="inlineStr">
        <is>
          <t>Open Draft orders.</t>
        </is>
      </c>
      <c r="G47" s="27" t="inlineStr">
        <is>
          <t>Status (waiting / placed / expired / cancelled), opened count, copy link, cancel work.</t>
        </is>
      </c>
      <c r="H47" s="23" t="n"/>
      <c r="I47" s="23" t="n"/>
      <c r="J47" s="28">
        <f>IF(OR(H47="Fail",I47="Fail"),"Fail",IF(OR(H47="Blocked",I47="Blocked"),"Blocked",IF(AND(OR(H47="Pass",H47="N/A"),OR(I47="Pass",I47="N/A"),COUNTIF(H47:I47,"Pass")&gt;0),"Pass",IF(AND(H47="N/A",I47="N/A"),"N/A",IF(COUNTA(H47:I47)=0,"Not run","In progress")))))</f>
        <v/>
      </c>
      <c r="K47" s="25" t="n"/>
      <c r="L47" s="23" t="n"/>
      <c r="M47" s="25" t="n"/>
    </row>
    <row r="48">
      <c r="A48" s="21" t="inlineStr">
        <is>
          <t>ORD-45</t>
        </is>
      </c>
      <c r="B48" s="21" t="inlineStr">
        <is>
          <t>P1</t>
        </is>
      </c>
      <c r="C48" s="22" t="inlineStr">
        <is>
          <t>Owner</t>
        </is>
      </c>
      <c r="D48" s="22" t="inlineStr">
        <is>
          <t>/returns</t>
        </is>
      </c>
      <c r="E48" s="22" t="inlineStr">
        <is>
          <t>Returns list and counts</t>
        </is>
      </c>
      <c r="F48" s="22" t="inlineStr">
        <is>
          <t>Open Returns.</t>
        </is>
      </c>
      <c r="G48" s="22" t="inlineStr">
        <is>
          <t>Stages and counts right (waiting, coming back, return rate, refunded).</t>
        </is>
      </c>
      <c r="H48" s="23" t="n"/>
      <c r="I48" s="23" t="n"/>
      <c r="J48" s="24">
        <f>IF(OR(H48="Fail",I48="Fail"),"Fail",IF(OR(H48="Blocked",I48="Blocked"),"Blocked",IF(AND(OR(H48="Pass",H48="N/A"),OR(I48="Pass",I48="N/A"),COUNTIF(H48:I48,"Pass")&gt;0),"Pass",IF(AND(H48="N/A",I48="N/A"),"N/A",IF(COUNTA(H48:I48)=0,"Not run","In progress")))))</f>
        <v/>
      </c>
      <c r="K48" s="25" t="n"/>
      <c r="L48" s="23" t="n"/>
      <c r="M48" s="25" t="n"/>
    </row>
    <row r="49">
      <c r="A49" s="26" t="inlineStr">
        <is>
          <t>ORD-46</t>
        </is>
      </c>
      <c r="B49" s="26" t="inlineStr">
        <is>
          <t>P1</t>
        </is>
      </c>
      <c r="C49" s="27" t="inlineStr">
        <is>
          <t>Owner</t>
        </is>
      </c>
      <c r="D49" s="27" t="inlineStr">
        <is>
          <t>/returns/new</t>
        </is>
      </c>
      <c r="E49" s="27" t="inlineStr">
        <is>
          <t>Start a return</t>
        </is>
      </c>
      <c r="F49" s="27" t="inlineStr">
        <is>
          <t>From a delivered order start a return with quantities and a reason.</t>
        </is>
      </c>
      <c r="G49" s="27" t="inlineStr">
        <is>
          <t>Only delivered orders; cannot return more than bought or already returned.</t>
        </is>
      </c>
      <c r="H49" s="23" t="n"/>
      <c r="I49" s="23" t="n"/>
      <c r="J49" s="28">
        <f>IF(OR(H49="Fail",I49="Fail"),"Fail",IF(OR(H49="Blocked",I49="Blocked"),"Blocked",IF(AND(OR(H49="Pass",H49="N/A"),OR(I49="Pass",I49="N/A"),COUNTIF(H49:I49,"Pass")&gt;0),"Pass",IF(AND(H49="N/A",I49="N/A"),"N/A",IF(COUNTA(H49:I49)=0,"Not run","In progress")))))</f>
        <v/>
      </c>
      <c r="K49" s="25" t="n"/>
      <c r="L49" s="23" t="n"/>
      <c r="M49" s="25" t="n"/>
    </row>
    <row r="50">
      <c r="A50" s="21" t="inlineStr">
        <is>
          <t>ORD-47</t>
        </is>
      </c>
      <c r="B50" s="21" t="inlineStr">
        <is>
          <t>P1</t>
        </is>
      </c>
      <c r="C50" s="22" t="inlineStr">
        <is>
          <t>Owner</t>
        </is>
      </c>
      <c r="D50" s="22" t="inlineStr">
        <is>
          <t>/returns</t>
        </is>
      </c>
      <c r="E50" s="22" t="inlineStr">
        <is>
          <t>Approve and refund</t>
        </is>
      </c>
      <c r="F50" s="22" t="inlineStr">
        <is>
          <t>Approve; mark parcel coming back; pay back by bKash with TrxID.</t>
        </is>
      </c>
      <c r="G50" s="22" t="inlineStr">
        <is>
          <t>Refund recorded in ledger; order status follows; customer told.</t>
        </is>
      </c>
      <c r="H50" s="23" t="n"/>
      <c r="I50" s="23" t="n"/>
      <c r="J50" s="24">
        <f>IF(OR(H50="Fail",I50="Fail"),"Fail",IF(OR(H50="Blocked",I50="Blocked"),"Blocked",IF(AND(OR(H50="Pass",H50="N/A"),OR(I50="Pass",I50="N/A"),COUNTIF(H50:I50,"Pass")&gt;0),"Pass",IF(AND(H50="N/A",I50="N/A"),"N/A",IF(COUNTA(H50:I50)=0,"Not run","In progress")))))</f>
        <v/>
      </c>
      <c r="K50" s="25" t="n"/>
      <c r="L50" s="23" t="n"/>
      <c r="M50" s="25" t="n"/>
    </row>
    <row r="51">
      <c r="A51" s="26" t="inlineStr">
        <is>
          <t>ORD-48</t>
        </is>
      </c>
      <c r="B51" s="26" t="inlineStr">
        <is>
          <t>P2</t>
        </is>
      </c>
      <c r="C51" s="27" t="inlineStr">
        <is>
          <t>Owner</t>
        </is>
      </c>
      <c r="D51" s="27" t="inlineStr">
        <is>
          <t>/returns</t>
        </is>
      </c>
      <c r="E51" s="27" t="inlineStr">
        <is>
          <t>Exchange / store credit / decline</t>
        </is>
      </c>
      <c r="F51" s="27" t="inlineStr">
        <is>
          <t>Do an exchange, a store-credit refund and a decline with reason.</t>
        </is>
      </c>
      <c r="G51" s="27" t="inlineStr">
        <is>
          <t>Exchange sends the replacement; credit added to customer; decline reason visible.</t>
        </is>
      </c>
      <c r="H51" s="23" t="n"/>
      <c r="I51" s="23" t="n"/>
      <c r="J51" s="28">
        <f>IF(OR(H51="Fail",I51="Fail"),"Fail",IF(OR(H51="Blocked",I51="Blocked"),"Blocked",IF(AND(OR(H51="Pass",H51="N/A"),OR(I51="Pass",I51="N/A"),COUNTIF(H51:I51,"Pass")&gt;0),"Pass",IF(AND(H51="N/A",I51="N/A"),"N/A",IF(COUNTA(H51:I51)=0,"Not run","In progress")))))</f>
        <v/>
      </c>
      <c r="K51" s="25" t="n"/>
      <c r="L51" s="23" t="n"/>
      <c r="M51" s="25" t="n"/>
    </row>
    <row r="52">
      <c r="A52" s="21" t="inlineStr">
        <is>
          <t>ORD-49</t>
        </is>
      </c>
      <c r="B52" s="21" t="inlineStr">
        <is>
          <t>P2</t>
        </is>
      </c>
      <c r="C52" s="22" t="inlineStr">
        <is>
          <t>Owner</t>
        </is>
      </c>
      <c r="D52" s="22" t="inlineStr">
        <is>
          <t>/returns</t>
        </is>
      </c>
      <c r="E52" s="22" t="inlineStr">
        <is>
          <t>Damaged goods</t>
        </is>
      </c>
      <c r="F52" s="22" t="inlineStr">
        <is>
          <t>Mark 'came back damaged'.</t>
        </is>
      </c>
      <c r="G52" s="22" t="inlineStr">
        <is>
          <t>Stock is NOT put back.</t>
        </is>
      </c>
      <c r="H52" s="23" t="n"/>
      <c r="I52" s="23" t="n"/>
      <c r="J52" s="24">
        <f>IF(OR(H52="Fail",I52="Fail"),"Fail",IF(OR(H52="Blocked",I52="Blocked"),"Blocked",IF(AND(OR(H52="Pass",H52="N/A"),OR(I52="Pass",I52="N/A"),COUNTIF(H52:I52,"Pass")&gt;0),"Pass",IF(AND(H52="N/A",I52="N/A"),"N/A",IF(COUNTA(H52:I52)=0,"Not run","In progress")))))</f>
        <v/>
      </c>
      <c r="K52" s="25" t="n"/>
      <c r="L52" s="23" t="n"/>
      <c r="M52" s="25" t="n"/>
    </row>
    <row r="53">
      <c r="A53" s="26" t="inlineStr">
        <is>
          <t>ORD-50</t>
        </is>
      </c>
      <c r="B53" s="26" t="inlineStr">
        <is>
          <t>P1</t>
        </is>
      </c>
      <c r="C53" s="27" t="inlineStr">
        <is>
          <t>Owner</t>
        </is>
      </c>
      <c r="D53" s="27" t="inlineStr">
        <is>
          <t>/abandoned</t>
        </is>
      </c>
      <c r="E53" s="27" t="inlineStr">
        <is>
          <t>Abandoned checkouts</t>
        </is>
      </c>
      <c r="F53" s="27" t="inlineStr">
        <is>
          <t>Open the list.</t>
        </is>
      </c>
      <c r="G53" s="27" t="inlineStr">
        <is>
          <t>Cart value, last call, stage; 'Make this an order' and call log work; recovery rate right.</t>
        </is>
      </c>
      <c r="H53" s="23" t="n"/>
      <c r="I53" s="23" t="n"/>
      <c r="J53" s="28">
        <f>IF(OR(H53="Fail",I53="Fail"),"Fail",IF(OR(H53="Blocked",I53="Blocked"),"Blocked",IF(AND(OR(H53="Pass",H53="N/A"),OR(I53="Pass",I53="N/A"),COUNTIF(H53:I53,"Pass")&gt;0),"Pass",IF(AND(H53="N/A",I53="N/A"),"N/A",IF(COUNTA(H53:I53)=0,"Not run","In progress")))))</f>
        <v/>
      </c>
      <c r="K53" s="25" t="n"/>
      <c r="L53" s="23" t="n"/>
      <c r="M53" s="25" t="n"/>
    </row>
    <row r="54">
      <c r="A54" s="21" t="inlineStr">
        <is>
          <t>ORD-51</t>
        </is>
      </c>
      <c r="B54" s="21" t="inlineStr">
        <is>
          <t>P1</t>
        </is>
      </c>
      <c r="C54" s="22" t="inlineStr">
        <is>
          <t>Owner</t>
        </is>
      </c>
      <c r="D54" s="22" t="inlineStr">
        <is>
          <t>/fraud</t>
        </is>
      </c>
      <c r="E54" s="22" t="inlineStr">
        <is>
          <t>Fraud check</t>
        </is>
      </c>
      <c r="F54" s="22" t="inlineStr">
        <is>
          <t>Open each tab (held, blocked, check a number).</t>
        </is>
      </c>
      <c r="G54" s="22" t="inlineStr">
        <is>
          <t>Counts right; check a number shows courier success rate and network history.</t>
        </is>
      </c>
      <c r="H54" s="23" t="n"/>
      <c r="I54" s="23" t="n"/>
      <c r="J54" s="24">
        <f>IF(OR(H54="Fail",I54="Fail"),"Fail",IF(OR(H54="Blocked",I54="Blocked"),"Blocked",IF(AND(OR(H54="Pass",H54="N/A"),OR(I54="Pass",I54="N/A"),COUNTIF(H54:I54,"Pass")&gt;0),"Pass",IF(AND(H54="N/A",I54="N/A"),"N/A",IF(COUNTA(H54:I54)=0,"Not run","In progress")))))</f>
        <v/>
      </c>
      <c r="K54" s="25" t="n"/>
      <c r="L54" s="23" t="n"/>
      <c r="M54" s="25" t="n"/>
    </row>
    <row r="55">
      <c r="A55" s="26" t="inlineStr">
        <is>
          <t>ORD-52</t>
        </is>
      </c>
      <c r="B55" s="26" t="inlineStr">
        <is>
          <t>P1</t>
        </is>
      </c>
      <c r="C55" s="27" t="inlineStr">
        <is>
          <t>Owner</t>
        </is>
      </c>
      <c r="D55" s="27" t="inlineStr">
        <is>
          <t>/fraud</t>
        </is>
      </c>
      <c r="E55" s="27" t="inlineStr">
        <is>
          <t>Blocked list</t>
        </is>
      </c>
      <c r="F55" s="27" t="inlineStr">
        <is>
          <t>Block and unblock a number.</t>
        </is>
      </c>
      <c r="G55" s="27" t="inlineStr">
        <is>
          <t>Takes effect at once on checkout.</t>
        </is>
      </c>
      <c r="H55" s="23" t="n"/>
      <c r="I55" s="23" t="n"/>
      <c r="J55" s="28">
        <f>IF(OR(H55="Fail",I55="Fail"),"Fail",IF(OR(H55="Blocked",I55="Blocked"),"Blocked",IF(AND(OR(H55="Pass",H55="N/A"),OR(I55="Pass",I55="N/A"),COUNTIF(H55:I55,"Pass")&gt;0),"Pass",IF(AND(H55="N/A",I55="N/A"),"N/A",IF(COUNTA(H55:I55)=0,"Not run","In progress")))))</f>
        <v/>
      </c>
      <c r="K55" s="25" t="n"/>
      <c r="L55" s="23" t="n"/>
      <c r="M55" s="25" t="n"/>
    </row>
  </sheetData>
  <autoFilter ref="A3:M55"/>
  <conditionalFormatting sqref="J4:J55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55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55">
    <cfRule type="cellIs" priority="6" operator="equal" dxfId="6">
      <formula>"P1"</formula>
    </cfRule>
  </conditionalFormatting>
  <dataValidations count="1">
    <dataValidation sqref="H4:I55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products, categories, inventory, POS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CAT-01</t>
        </is>
      </c>
      <c r="B4" s="21" t="inlineStr">
        <is>
          <t>P1</t>
        </is>
      </c>
      <c r="C4" s="22" t="inlineStr">
        <is>
          <t>Owner</t>
        </is>
      </c>
      <c r="D4" s="22" t="inlineStr">
        <is>
          <t>/products</t>
        </is>
      </c>
      <c r="E4" s="22" t="inlineStr">
        <is>
          <t>Products list</t>
        </is>
      </c>
      <c r="F4" s="22" t="inlineStr">
        <is>
          <t>Open Products; switch List/Grid; use tabs and search.</t>
        </is>
      </c>
      <c r="G4" s="22" t="inlineStr">
        <is>
          <t>All products, stock totals, status pills right; category filter works.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CAT-02</t>
        </is>
      </c>
      <c r="B5" s="26" t="inlineStr">
        <is>
          <t>P1</t>
        </is>
      </c>
      <c r="C5" s="27" t="inlineStr">
        <is>
          <t>Owner</t>
        </is>
      </c>
      <c r="D5" s="27" t="inlineStr">
        <is>
          <t>/products</t>
        </is>
      </c>
      <c r="E5" s="27" t="inlineStr">
        <is>
          <t>Bulk publish / draft / archive</t>
        </is>
      </c>
      <c r="F5" s="27" t="inlineStr">
        <is>
          <t>Select products; apply each action.</t>
        </is>
      </c>
      <c r="G5" s="27" t="inlineStr">
        <is>
          <t>Status changes; archived hidden from the store; counts right.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CAT-03</t>
        </is>
      </c>
      <c r="B6" s="21" t="inlineStr">
        <is>
          <t>P1</t>
        </is>
      </c>
      <c r="C6" s="22" t="inlineStr">
        <is>
          <t>Owner</t>
        </is>
      </c>
      <c r="D6" s="22" t="inlineStr">
        <is>
          <t>/products/new</t>
        </is>
      </c>
      <c r="E6" s="22" t="inlineStr">
        <is>
          <t>Create a product</t>
        </is>
      </c>
      <c r="F6" s="22" t="inlineStr">
        <is>
          <t>Title, Bangla name, price, cost, photos, category, tags, description; Publish.</t>
        </is>
      </c>
      <c r="G6" s="22" t="inlineStr">
        <is>
          <t>Saved; appears on the store; slug created; plan limit message if at limit.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CAT-04</t>
        </is>
      </c>
      <c r="B7" s="26" t="inlineStr">
        <is>
          <t>P1</t>
        </is>
      </c>
      <c r="C7" s="27" t="inlineStr">
        <is>
          <t>Owner</t>
        </is>
      </c>
      <c r="D7" s="27" t="inlineStr">
        <is>
          <t>/products/new</t>
        </is>
      </c>
      <c r="E7" s="27" t="inlineStr">
        <is>
          <t>Photos from phone</t>
        </is>
      </c>
      <c r="F7" s="27" t="inlineStr">
        <is>
          <t>Use Take photo / Add photos.</t>
        </is>
      </c>
      <c r="G7" s="27" t="inlineStr">
        <is>
          <t>Upload shows progress; EXIF/GPS stripped; first photo is cover; WebP served; SVG refused; over-limit refused.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CAT-05</t>
        </is>
      </c>
      <c r="B8" s="21" t="inlineStr">
        <is>
          <t>P1</t>
        </is>
      </c>
      <c r="C8" s="22" t="inlineStr">
        <is>
          <t>Owner</t>
        </is>
      </c>
      <c r="D8" s="22" t="inlineStr">
        <is>
          <t>/products/new</t>
        </is>
      </c>
      <c r="E8" s="22" t="inlineStr">
        <is>
          <t>Variants</t>
        </is>
      </c>
      <c r="F8" s="22" t="inlineStr">
        <is>
          <t>Add Size option with values; set price, SKU, stock per variant.</t>
        </is>
      </c>
      <c r="G8" s="22" t="inlineStr">
        <is>
          <t>Variant rows created; each purchasable on the store.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CAT-06</t>
        </is>
      </c>
      <c r="B9" s="26" t="inlineStr">
        <is>
          <t>P2</t>
        </is>
      </c>
      <c r="C9" s="27" t="inlineStr">
        <is>
          <t>Owner</t>
        </is>
      </c>
      <c r="D9" s="27" t="inlineStr">
        <is>
          <t>/products/new</t>
        </is>
      </c>
      <c r="E9" s="27" t="inlineStr">
        <is>
          <t>Validation</t>
        </is>
      </c>
      <c r="F9" s="27" t="inlineStr">
        <is>
          <t>Save with no title, price 0, duplicate SKU, compare-at below price.</t>
        </is>
      </c>
      <c r="G9" s="27" t="inlineStr">
        <is>
          <t>Clear errors on the right field; nothing saved.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CAT-07</t>
        </is>
      </c>
      <c r="B10" s="21" t="inlineStr">
        <is>
          <t>P2</t>
        </is>
      </c>
      <c r="C10" s="22" t="inlineStr">
        <is>
          <t>Owner</t>
        </is>
      </c>
      <c r="D10" s="22" t="inlineStr">
        <is>
          <t>/products/new</t>
        </is>
      </c>
      <c r="E10" s="22" t="inlineStr">
        <is>
          <t>Save draft vs publish</t>
        </is>
      </c>
      <c r="F10" s="22" t="inlineStr">
        <is>
          <t>Save as draft; check store; then publish.</t>
        </is>
      </c>
      <c r="G10" s="22" t="inlineStr">
        <is>
          <t>Draft invisible on store; publish makes it live.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CAT-08</t>
        </is>
      </c>
      <c r="B11" s="26" t="inlineStr">
        <is>
          <t>P2</t>
        </is>
      </c>
      <c r="C11" s="27" t="inlineStr">
        <is>
          <t>Owner</t>
        </is>
      </c>
      <c r="D11" s="27" t="inlineStr">
        <is>
          <t>/products/&lt;id&gt;</t>
        </is>
      </c>
      <c r="E11" s="27" t="inlineStr">
        <is>
          <t>Edit product</t>
        </is>
      </c>
      <c r="F11" s="27" t="inlineStr">
        <is>
          <t>Change price, stock, photos order, description (bold/italic/list).</t>
        </is>
      </c>
      <c r="G11" s="27" t="inlineStr">
        <is>
          <t>Store updates; stock change logged as an adjustment.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CAT-09</t>
        </is>
      </c>
      <c r="B12" s="21" t="inlineStr">
        <is>
          <t>P2</t>
        </is>
      </c>
      <c r="C12" s="22" t="inlineStr">
        <is>
          <t>Owner</t>
        </is>
      </c>
      <c r="D12" s="22" t="inlineStr">
        <is>
          <t>/products/&lt;id&gt;</t>
        </is>
      </c>
      <c r="E12" s="22" t="inlineStr">
        <is>
          <t>Google preview</t>
        </is>
      </c>
      <c r="F12" s="22" t="inlineStr">
        <is>
          <t>Edit search title/description.</t>
        </is>
      </c>
      <c r="G12" s="22" t="inlineStr">
        <is>
          <t>Preview updates; page source uses it.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CAT-10</t>
        </is>
      </c>
      <c r="B13" s="26" t="inlineStr">
        <is>
          <t>P2</t>
        </is>
      </c>
      <c r="C13" s="27" t="inlineStr">
        <is>
          <t>Owner</t>
        </is>
      </c>
      <c r="D13" s="27" t="inlineStr">
        <is>
          <t>/products/&lt;id&gt;</t>
        </is>
      </c>
      <c r="E13" s="27" t="inlineStr">
        <is>
          <t>Archive / delete</t>
        </is>
      </c>
      <c r="F13" s="27" t="inlineStr">
        <is>
          <t>Archive a product that has orders.</t>
        </is>
      </c>
      <c r="G13" s="27" t="inlineStr">
        <is>
          <t>Hidden from store; old orders still show its name.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CAT-11</t>
        </is>
      </c>
      <c r="B14" s="21" t="inlineStr">
        <is>
          <t>P1</t>
        </is>
      </c>
      <c r="C14" s="22" t="inlineStr">
        <is>
          <t>Owner</t>
        </is>
      </c>
      <c r="D14" s="22" t="inlineStr">
        <is>
          <t>/products/import</t>
        </is>
      </c>
      <c r="E14" s="22" t="inlineStr">
        <is>
          <t>Import CSV (BizTrack)</t>
        </is>
      </c>
      <c r="F14" s="22" t="inlineStr">
        <is>
          <t>Download template; fill; import.</t>
        </is>
      </c>
      <c r="G14" s="22" t="inlineStr">
        <is>
          <t>Rows created; a bad row reported by line without stopping the rest.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CAT-12</t>
        </is>
      </c>
      <c r="B15" s="26" t="inlineStr">
        <is>
          <t>P1</t>
        </is>
      </c>
      <c r="C15" s="27" t="inlineStr">
        <is>
          <t>Owner</t>
        </is>
      </c>
      <c r="D15" s="27" t="inlineStr">
        <is>
          <t>/products/import</t>
        </is>
      </c>
      <c r="E15" s="27" t="inlineStr">
        <is>
          <t>Import Shopify and WooCommerce files</t>
        </is>
      </c>
      <c r="F15" s="27" t="inlineStr">
        <is>
          <t>Import real exports.</t>
        </is>
      </c>
      <c r="G15" s="27" t="inlineStr">
        <is>
          <t>Format detected; variants, images, prices, categories brought in.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CAT-13</t>
        </is>
      </c>
      <c r="B16" s="21" t="inlineStr">
        <is>
          <t>P2</t>
        </is>
      </c>
      <c r="C16" s="22" t="inlineStr">
        <is>
          <t>Owner</t>
        </is>
      </c>
      <c r="D16" s="22" t="inlineStr">
        <is>
          <t>/products/import</t>
        </is>
      </c>
      <c r="E16" s="22" t="inlineStr">
        <is>
          <t>Import limits</t>
        </is>
      </c>
      <c r="F16" s="22" t="inlineStr">
        <is>
          <t>File over the row limit / wrong columns.</t>
        </is>
      </c>
      <c r="G16" s="22" t="inlineStr">
        <is>
          <t>Plain message; nothing half-imported.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CAT-14</t>
        </is>
      </c>
      <c r="B17" s="26" t="inlineStr">
        <is>
          <t>P1</t>
        </is>
      </c>
      <c r="C17" s="27" t="inlineStr">
        <is>
          <t>Owner</t>
        </is>
      </c>
      <c r="D17" s="27" t="inlineStr">
        <is>
          <t>/products/categories</t>
        </is>
      </c>
      <c r="E17" s="27" t="inlineStr">
        <is>
          <t>Categories page</t>
        </is>
      </c>
      <c r="F17" s="27" t="inlineStr">
        <is>
          <t>Add a category, a sub-category with picture, rename, reorder, hide, delete.</t>
        </is>
      </c>
      <c r="G17" s="27" t="inlineStr">
        <is>
          <t>Store menu follows; deleting keeps products uncategorised; sub-category one level only.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CAT-15</t>
        </is>
      </c>
      <c r="B18" s="21" t="inlineStr">
        <is>
          <t>P2</t>
        </is>
      </c>
      <c r="C18" s="22" t="inlineStr">
        <is>
          <t>Owner</t>
        </is>
      </c>
      <c r="D18" s="22" t="inlineStr">
        <is>
          <t>/products/categories</t>
        </is>
      </c>
      <c r="E18" s="22" t="inlineStr">
        <is>
          <t>Parent shop page</t>
        </is>
      </c>
      <c r="F18" s="22" t="inlineStr">
        <is>
          <t>Open a parent category on the store.</t>
        </is>
      </c>
      <c r="G18" s="22" t="inlineStr">
        <is>
          <t>Shows its own and its sub-categories' products.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CAT-16</t>
        </is>
      </c>
      <c r="B19" s="26" t="inlineStr">
        <is>
          <t>P2</t>
        </is>
      </c>
      <c r="C19" s="27" t="inlineStr">
        <is>
          <t>Owner</t>
        </is>
      </c>
      <c r="D19" s="27" t="inlineStr">
        <is>
          <t>/products/barcodes</t>
        </is>
      </c>
      <c r="E19" s="27" t="inlineStr">
        <is>
          <t>Barcode label studio</t>
        </is>
      </c>
      <c r="F19" s="27" t="inlineStr">
        <is>
          <t>Pick products; set label size; print.</t>
        </is>
      </c>
      <c r="G19" s="27" t="inlineStr">
        <is>
          <t>Code-128 labels render and scan; assign barcode to a variant.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CAT-17</t>
        </is>
      </c>
      <c r="B20" s="21" t="inlineStr">
        <is>
          <t>P1</t>
        </is>
      </c>
      <c r="C20" s="22" t="inlineStr">
        <is>
          <t>Owner</t>
        </is>
      </c>
      <c r="D20" s="22" t="inlineStr">
        <is>
          <t>/inventory</t>
        </is>
      </c>
      <c r="E20" s="22" t="inlineStr">
        <is>
          <t>Inventory list</t>
        </is>
      </c>
      <c r="F20" s="22" t="inlineStr">
        <is>
          <t>Open Inventory; filters low/out; search.</t>
        </is>
      </c>
      <c r="G20" s="22" t="inlineStr">
        <is>
          <t>Available, committed, reorder level, stock value right.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CAT-18</t>
        </is>
      </c>
      <c r="B21" s="26" t="inlineStr">
        <is>
          <t>P1</t>
        </is>
      </c>
      <c r="C21" s="27" t="inlineStr">
        <is>
          <t>Owner</t>
        </is>
      </c>
      <c r="D21" s="27" t="inlineStr">
        <is>
          <t>/inventory</t>
        </is>
      </c>
      <c r="E21" s="27" t="inlineStr">
        <is>
          <t>Adjust stock</t>
        </is>
      </c>
      <c r="F21" s="27" t="inlineStr">
        <is>
          <t>Add, remove, set count with a reason.</t>
        </is>
      </c>
      <c r="G21" s="27" t="inlineStr">
        <is>
          <t>Count updates; history shows who/why; cannot go below zero.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CAT-19</t>
        </is>
      </c>
      <c r="B22" s="21" t="inlineStr">
        <is>
          <t>P2</t>
        </is>
      </c>
      <c r="C22" s="22" t="inlineStr">
        <is>
          <t>Owner</t>
        </is>
      </c>
      <c r="D22" s="22" t="inlineStr">
        <is>
          <t>/inventory</t>
        </is>
      </c>
      <c r="E22" s="22" t="inlineStr">
        <is>
          <t>Inline stepper</t>
        </is>
      </c>
      <c r="F22" s="22" t="inlineStr">
        <is>
          <t>Use +/- and type a number in the list.</t>
        </is>
      </c>
      <c r="G22" s="22" t="inlineStr">
        <is>
          <t>Saves automatically; rolls back with a message on failure.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CAT-20</t>
        </is>
      </c>
      <c r="B23" s="26" t="inlineStr">
        <is>
          <t>P1</t>
        </is>
      </c>
      <c r="C23" s="27" t="inlineStr">
        <is>
          <t>Owner</t>
        </is>
      </c>
      <c r="D23" s="27" t="inlineStr">
        <is>
          <t>/inventory/alerts</t>
        </is>
      </c>
      <c r="E23" s="27" t="inlineStr">
        <is>
          <t>Back-in-stock requests</t>
        </is>
      </c>
      <c r="F23" s="27" t="inlineStr">
        <is>
          <t>Open the page after a shopper asked.</t>
        </is>
      </c>
      <c r="G23" s="27" t="inlineStr">
        <is>
          <t>Shows waiting count per item; Clear works.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  <row r="24">
      <c r="A24" s="21" t="inlineStr">
        <is>
          <t>CAT-21</t>
        </is>
      </c>
      <c r="B24" s="21" t="inlineStr">
        <is>
          <t>P1</t>
        </is>
      </c>
      <c r="C24" s="22" t="inlineStr">
        <is>
          <t>Owner</t>
        </is>
      </c>
      <c r="D24" s="22" t="inlineStr">
        <is>
          <t>/inventory/alerts</t>
        </is>
      </c>
      <c r="E24" s="22" t="inlineStr">
        <is>
          <t>Restock sends SMS</t>
        </is>
      </c>
      <c r="F24" s="22" t="inlineStr">
        <is>
          <t>Add stock to a requested item.</t>
        </is>
      </c>
      <c r="G24" s="22" t="inlineStr">
        <is>
          <t>Waiting shoppers get one SMS, longest-waiting first; list empties; 'told this month' rises.</t>
        </is>
      </c>
      <c r="H24" s="23" t="n"/>
      <c r="I24" s="23" t="n"/>
      <c r="J24" s="24">
        <f>IF(OR(H24="Fail",I24="Fail"),"Fail",IF(OR(H24="Blocked",I24="Blocked"),"Blocked",IF(AND(OR(H24="Pass",H24="N/A"),OR(I24="Pass",I24="N/A"),COUNTIF(H24:I24,"Pass")&gt;0),"Pass",IF(AND(H24="N/A",I24="N/A"),"N/A",IF(COUNTA(H24:I24)=0,"Not run","In progress")))))</f>
        <v/>
      </c>
      <c r="K24" s="25" t="n"/>
      <c r="L24" s="23" t="n"/>
      <c r="M24" s="25" t="n"/>
    </row>
    <row r="25">
      <c r="A25" s="26" t="inlineStr">
        <is>
          <t>CAT-22</t>
        </is>
      </c>
      <c r="B25" s="26" t="inlineStr">
        <is>
          <t>P1</t>
        </is>
      </c>
      <c r="C25" s="27" t="inlineStr">
        <is>
          <t>Owner</t>
        </is>
      </c>
      <c r="D25" s="27" t="inlineStr">
        <is>
          <t>/pos</t>
        </is>
      </c>
      <c r="E25" s="27" t="inlineStr">
        <is>
          <t>POS opens a register</t>
        </is>
      </c>
      <c r="F25" s="27" t="inlineStr">
        <is>
          <t>Open /pos for the first time.</t>
        </is>
      </c>
      <c r="G25" s="27" t="inlineStr">
        <is>
          <t>A register opens (no error); session can be started with opening cash.</t>
        </is>
      </c>
      <c r="H25" s="23" t="n"/>
      <c r="I25" s="23" t="n"/>
      <c r="J25" s="28">
        <f>IF(OR(H25="Fail",I25="Fail"),"Fail",IF(OR(H25="Blocked",I25="Blocked"),"Blocked",IF(AND(OR(H25="Pass",H25="N/A"),OR(I25="Pass",I25="N/A"),COUNTIF(H25:I25,"Pass")&gt;0),"Pass",IF(AND(H25="N/A",I25="N/A"),"N/A",IF(COUNTA(H25:I25)=0,"Not run","In progress")))))</f>
        <v/>
      </c>
      <c r="K25" s="25" t="n"/>
      <c r="L25" s="23" t="n"/>
      <c r="M25" s="25" t="n"/>
    </row>
    <row r="26">
      <c r="A26" s="21" t="inlineStr">
        <is>
          <t>CAT-23</t>
        </is>
      </c>
      <c r="B26" s="21" t="inlineStr">
        <is>
          <t>P1</t>
        </is>
      </c>
      <c r="C26" s="22" t="inlineStr">
        <is>
          <t>Owner</t>
        </is>
      </c>
      <c r="D26" s="22" t="inlineStr">
        <is>
          <t>/pos</t>
        </is>
      </c>
      <c r="E26" s="22" t="inlineStr">
        <is>
          <t>Ring up a sale</t>
        </is>
      </c>
      <c r="F26" s="22" t="inlineStr">
        <is>
          <t>Search/scan items, take cash, finish.</t>
        </is>
      </c>
      <c r="G26" s="22" t="inlineStr">
        <is>
          <t>Sale saved as an order (channel POS); stock reduced; receipt prints.</t>
        </is>
      </c>
      <c r="H26" s="23" t="n"/>
      <c r="I26" s="23" t="n"/>
      <c r="J26" s="24">
        <f>IF(OR(H26="Fail",I26="Fail"),"Fail",IF(OR(H26="Blocked",I26="Blocked"),"Blocked",IF(AND(OR(H26="Pass",H26="N/A"),OR(I26="Pass",I26="N/A"),COUNTIF(H26:I26,"Pass")&gt;0),"Pass",IF(AND(H26="N/A",I26="N/A"),"N/A",IF(COUNTA(H26:I26)=0,"Not run","In progress")))))</f>
        <v/>
      </c>
      <c r="K26" s="25" t="n"/>
      <c r="L26" s="23" t="n"/>
      <c r="M26" s="25" t="n"/>
    </row>
    <row r="27">
      <c r="A27" s="26" t="inlineStr">
        <is>
          <t>CAT-24</t>
        </is>
      </c>
      <c r="B27" s="26" t="inlineStr">
        <is>
          <t>P2</t>
        </is>
      </c>
      <c r="C27" s="27" t="inlineStr">
        <is>
          <t>Owner</t>
        </is>
      </c>
      <c r="D27" s="27" t="inlineStr">
        <is>
          <t>/pos</t>
        </is>
      </c>
      <c r="E27" s="27" t="inlineStr">
        <is>
          <t>Split payment</t>
        </is>
      </c>
      <c r="F27" s="27" t="inlineStr">
        <is>
          <t>Pay part cash, part bKash.</t>
        </is>
      </c>
      <c r="G27" s="27" t="inlineStr">
        <is>
          <t>Splits stored and shown on the receipt and order.</t>
        </is>
      </c>
      <c r="H27" s="23" t="n"/>
      <c r="I27" s="23" t="n"/>
      <c r="J27" s="28">
        <f>IF(OR(H27="Fail",I27="Fail"),"Fail",IF(OR(H27="Blocked",I27="Blocked"),"Blocked",IF(AND(OR(H27="Pass",H27="N/A"),OR(I27="Pass",I27="N/A"),COUNTIF(H27:I27,"Pass")&gt;0),"Pass",IF(AND(H27="N/A",I27="N/A"),"N/A",IF(COUNTA(H27:I27)=0,"Not run","In progress")))))</f>
        <v/>
      </c>
      <c r="K27" s="25" t="n"/>
      <c r="L27" s="23" t="n"/>
      <c r="M27" s="25" t="n"/>
    </row>
    <row r="28">
      <c r="A28" s="21" t="inlineStr">
        <is>
          <t>CAT-25</t>
        </is>
      </c>
      <c r="B28" s="21" t="inlineStr">
        <is>
          <t>P2</t>
        </is>
      </c>
      <c r="C28" s="22" t="inlineStr">
        <is>
          <t>Owner</t>
        </is>
      </c>
      <c r="D28" s="22" t="inlineStr">
        <is>
          <t>/pos</t>
        </is>
      </c>
      <c r="E28" s="22" t="inlineStr">
        <is>
          <t>Cash in/out and close</t>
        </is>
      </c>
      <c r="F28" s="22" t="inlineStr">
        <is>
          <t>Add a cash movement; close the session.</t>
        </is>
      </c>
      <c r="G28" s="22" t="inlineStr">
        <is>
          <t>Expected vs counted cash shown; session closed.</t>
        </is>
      </c>
      <c r="H28" s="23" t="n"/>
      <c r="I28" s="23" t="n"/>
      <c r="J28" s="24">
        <f>IF(OR(H28="Fail",I28="Fail"),"Fail",IF(OR(H28="Blocked",I28="Blocked"),"Blocked",IF(AND(OR(H28="Pass",H28="N/A"),OR(I28="Pass",I28="N/A"),COUNTIF(H28:I28,"Pass")&gt;0),"Pass",IF(AND(H28="N/A",I28="N/A"),"N/A",IF(COUNTA(H28:I28)=0,"Not run","In progress")))))</f>
        <v/>
      </c>
      <c r="K28" s="25" t="n"/>
      <c r="L28" s="23" t="n"/>
      <c r="M28" s="25" t="n"/>
    </row>
    <row r="29">
      <c r="A29" s="26" t="inlineStr">
        <is>
          <t>CAT-26</t>
        </is>
      </c>
      <c r="B29" s="26" t="inlineStr">
        <is>
          <t>P2</t>
        </is>
      </c>
      <c r="C29" s="27" t="inlineStr">
        <is>
          <t>Owner</t>
        </is>
      </c>
      <c r="D29" s="27" t="inlineStr">
        <is>
          <t>/pos</t>
        </is>
      </c>
      <c r="E29" s="27" t="inlineStr">
        <is>
          <t>Barcode scan</t>
        </is>
      </c>
      <c r="F29" s="27" t="inlineStr">
        <is>
          <t>Scan a printed label.</t>
        </is>
      </c>
      <c r="G29" s="27" t="inlineStr">
        <is>
          <t>Product added to the sale.</t>
        </is>
      </c>
      <c r="H29" s="23" t="n"/>
      <c r="I29" s="23" t="n"/>
      <c r="J29" s="28">
        <f>IF(OR(H29="Fail",I29="Fail"),"Fail",IF(OR(H29="Blocked",I29="Blocked"),"Blocked",IF(AND(OR(H29="Pass",H29="N/A"),OR(I29="Pass",I29="N/A"),COUNTIF(H29:I29,"Pass")&gt;0),"Pass",IF(AND(H29="N/A",I29="N/A"),"N/A",IF(COUNTA(H29:I29)=0,"Not run","In progress")))))</f>
        <v/>
      </c>
      <c r="K29" s="25" t="n"/>
      <c r="L29" s="23" t="n"/>
      <c r="M29" s="25" t="n"/>
    </row>
  </sheetData>
  <autoFilter ref="A3:M29"/>
  <conditionalFormatting sqref="J4:J29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29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29">
    <cfRule type="cellIs" priority="6" operator="equal" dxfId="6">
      <formula>"P1"</formula>
    </cfRule>
  </conditionalFormatting>
  <dataValidations count="1">
    <dataValidation sqref="H4:I2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customers, inbox, reviews, support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PPL-01</t>
        </is>
      </c>
      <c r="B4" s="21" t="inlineStr">
        <is>
          <t>P1</t>
        </is>
      </c>
      <c r="C4" s="22" t="inlineStr">
        <is>
          <t>Owner</t>
        </is>
      </c>
      <c r="D4" s="22" t="inlineStr">
        <is>
          <t>/customers</t>
        </is>
      </c>
      <c r="E4" s="22" t="inlineStr">
        <is>
          <t>Customer list</t>
        </is>
      </c>
      <c r="F4" s="22" t="inlineStr">
        <is>
          <t>Open Customers; search; Blocked tab.</t>
        </is>
      </c>
      <c r="G4" s="22" t="inlineStr">
        <is>
          <t>Stats right (all, new, repeat, average order); search by name/phone/email.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PPL-02</t>
        </is>
      </c>
      <c r="B5" s="26" t="inlineStr">
        <is>
          <t>P1</t>
        </is>
      </c>
      <c r="C5" s="27" t="inlineStr">
        <is>
          <t>Owner</t>
        </is>
      </c>
      <c r="D5" s="27" t="inlineStr">
        <is>
          <t>/customers</t>
        </is>
      </c>
      <c r="E5" s="27" t="inlineStr">
        <is>
          <t>Add a customer</t>
        </is>
      </c>
      <c r="F5" s="27" t="inlineStr">
        <is>
          <t>Press Add customer; fill; save.</t>
        </is>
      </c>
      <c r="G5" s="27" t="inlineStr">
        <is>
          <t>Customer created; duplicate phone refused.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PPL-03</t>
        </is>
      </c>
      <c r="B6" s="21" t="inlineStr">
        <is>
          <t>P1</t>
        </is>
      </c>
      <c r="C6" s="22" t="inlineStr">
        <is>
          <t>Owner</t>
        </is>
      </c>
      <c r="D6" s="22" t="inlineStr">
        <is>
          <t>/customers/import</t>
        </is>
      </c>
      <c r="E6" s="22" t="inlineStr">
        <is>
          <t>Import customers</t>
        </is>
      </c>
      <c r="F6" s="22" t="inlineStr">
        <is>
          <t>Upload CSV (template and a Shopify export).</t>
        </is>
      </c>
      <c r="G6" s="22" t="inlineStr">
        <is>
          <t>Result: added / already existed / bad rows by line; no consent given; second import adds nothing.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PPL-04</t>
        </is>
      </c>
      <c r="B7" s="26" t="inlineStr">
        <is>
          <t>P1</t>
        </is>
      </c>
      <c r="C7" s="27" t="inlineStr">
        <is>
          <t>Owner</t>
        </is>
      </c>
      <c r="D7" s="27" t="inlineStr">
        <is>
          <t>/customers</t>
        </is>
      </c>
      <c r="E7" s="27" t="inlineStr">
        <is>
          <t>Export CSV</t>
        </is>
      </c>
      <c r="F7" s="27" t="inlineStr">
        <is>
          <t>Press Export CSV.</t>
        </is>
      </c>
      <c r="G7" s="27" t="inlineStr">
        <is>
          <t>All customers; formulas neutralised.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PPL-05</t>
        </is>
      </c>
      <c r="B8" s="21" t="inlineStr">
        <is>
          <t>P1</t>
        </is>
      </c>
      <c r="C8" s="22" t="inlineStr">
        <is>
          <t>Owner</t>
        </is>
      </c>
      <c r="D8" s="22" t="inlineStr">
        <is>
          <t>/customers/&lt;id&gt;</t>
        </is>
      </c>
      <c r="E8" s="22" t="inlineStr">
        <is>
          <t>Customer detail</t>
        </is>
      </c>
      <c r="F8" s="22" t="inlineStr">
        <is>
          <t>Open a customer.</t>
        </is>
      </c>
      <c r="G8" s="22" t="inlineStr">
        <is>
          <t>Orders, spent, delivery success %, tags, private note, addresses, points.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PPL-06</t>
        </is>
      </c>
      <c r="B9" s="26" t="inlineStr">
        <is>
          <t>P2</t>
        </is>
      </c>
      <c r="C9" s="27" t="inlineStr">
        <is>
          <t>Owner</t>
        </is>
      </c>
      <c r="D9" s="27" t="inlineStr">
        <is>
          <t>/customers/&lt;id&gt;</t>
        </is>
      </c>
      <c r="E9" s="27" t="inlineStr">
        <is>
          <t>Edit, tags, note</t>
        </is>
      </c>
      <c r="F9" s="27" t="inlineStr">
        <is>
          <t>Change details, tags, note.</t>
        </is>
      </c>
      <c r="G9" s="27" t="inlineStr">
        <is>
          <t>Saved; visible to team only.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PPL-07</t>
        </is>
      </c>
      <c r="B10" s="21" t="inlineStr">
        <is>
          <t>P1</t>
        </is>
      </c>
      <c r="C10" s="22" t="inlineStr">
        <is>
          <t>Owner</t>
        </is>
      </c>
      <c r="D10" s="22" t="inlineStr">
        <is>
          <t>/customers/&lt;id&gt;</t>
        </is>
      </c>
      <c r="E10" s="22" t="inlineStr">
        <is>
          <t>Block and unblock</t>
        </is>
      </c>
      <c r="F10" s="22" t="inlineStr">
        <is>
          <t>Block with reason; unblock.</t>
        </is>
      </c>
      <c r="G10" s="22" t="inlineStr">
        <is>
          <t>Blocked: cannot order; unblocked: can.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PPL-08</t>
        </is>
      </c>
      <c r="B11" s="26" t="inlineStr">
        <is>
          <t>P2</t>
        </is>
      </c>
      <c r="C11" s="27" t="inlineStr">
        <is>
          <t>Owner</t>
        </is>
      </c>
      <c r="D11" s="27" t="inlineStr">
        <is>
          <t>/customers/&lt;id&gt;</t>
        </is>
      </c>
      <c r="E11" s="27" t="inlineStr">
        <is>
          <t>Call / WhatsApp / Create order</t>
        </is>
      </c>
      <c r="F11" s="27" t="inlineStr">
        <is>
          <t>Press each.</t>
        </is>
      </c>
      <c r="G11" s="27" t="inlineStr">
        <is>
          <t>tel: and WhatsApp open with the number; Create order opens the desk.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PPL-09</t>
        </is>
      </c>
      <c r="B12" s="21" t="inlineStr">
        <is>
          <t>P1</t>
        </is>
      </c>
      <c r="C12" s="22" t="inlineStr">
        <is>
          <t>Owner</t>
        </is>
      </c>
      <c r="D12" s="22" t="inlineStr">
        <is>
          <t>/inbox</t>
        </is>
      </c>
      <c r="E12" s="22" t="inlineStr">
        <is>
          <t>Contact inbox</t>
        </is>
      </c>
      <c r="F12" s="22" t="inlineStr">
        <is>
          <t>Open Inbox after a shopper wrote.</t>
        </is>
      </c>
      <c r="G12" s="22" t="inlineStr">
        <is>
          <t>Message with name, number, time; unread shows; opens as read.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PPL-10</t>
        </is>
      </c>
      <c r="B13" s="26" t="inlineStr">
        <is>
          <t>P1</t>
        </is>
      </c>
      <c r="C13" s="27" t="inlineStr">
        <is>
          <t>Owner</t>
        </is>
      </c>
      <c r="D13" s="27" t="inlineStr">
        <is>
          <t>/inbox</t>
        </is>
      </c>
      <c r="E13" s="27" t="inlineStr">
        <is>
          <t>Reply by SMS</t>
        </is>
      </c>
      <c r="F13" s="27" t="inlineStr">
        <is>
          <t>Write a reply; send.</t>
        </is>
      </c>
      <c r="G13" s="27" t="inlineStr">
        <is>
          <t>Customer gets SMS; message moves to Answered; refused for opted-out / no credits.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PPL-11</t>
        </is>
      </c>
      <c r="B14" s="21" t="inlineStr">
        <is>
          <t>P2</t>
        </is>
      </c>
      <c r="C14" s="22" t="inlineStr">
        <is>
          <t>Owner</t>
        </is>
      </c>
      <c r="D14" s="22" t="inlineStr">
        <is>
          <t>/inbox</t>
        </is>
      </c>
      <c r="E14" s="22" t="inlineStr">
        <is>
          <t>Close without reply</t>
        </is>
      </c>
      <c r="F14" s="22" t="inlineStr">
        <is>
          <t>Press Close.</t>
        </is>
      </c>
      <c r="G14" s="22" t="inlineStr">
        <is>
          <t>Moves to Closed.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PPL-12</t>
        </is>
      </c>
      <c r="B15" s="26" t="inlineStr">
        <is>
          <t>P1</t>
        </is>
      </c>
      <c r="C15" s="27" t="inlineStr">
        <is>
          <t>Owner</t>
        </is>
      </c>
      <c r="D15" s="27" t="inlineStr">
        <is>
          <t>/reviews</t>
        </is>
      </c>
      <c r="E15" s="27" t="inlineStr">
        <is>
          <t>Moderate reviews</t>
        </is>
      </c>
      <c r="F15" s="27" t="inlineStr">
        <is>
          <t>Open Reviews; publish/hide; reply.</t>
        </is>
      </c>
      <c r="G15" s="27" t="inlineStr">
        <is>
          <t>Store shows only published; reply shows under the review; auto-publish switch works.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PPL-13</t>
        </is>
      </c>
      <c r="B16" s="21" t="inlineStr">
        <is>
          <t>P2</t>
        </is>
      </c>
      <c r="C16" s="22" t="inlineStr">
        <is>
          <t>Owner</t>
        </is>
      </c>
      <c r="D16" s="22" t="inlineStr">
        <is>
          <t>/support</t>
        </is>
      </c>
      <c r="E16" s="22" t="inlineStr">
        <is>
          <t>Help and support ticket</t>
        </is>
      </c>
      <c r="F16" s="22" t="inlineStr">
        <is>
          <t>Open a ticket with subject, priority, message.</t>
        </is>
      </c>
      <c r="G16" s="22" t="inlineStr">
        <is>
          <t>Appears in Platform admin &gt; Tickets; replies appear both sides.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</sheetData>
  <autoFilter ref="A3:M16"/>
  <conditionalFormatting sqref="J4:J16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6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6">
    <cfRule type="cellIs" priority="6" operator="equal" dxfId="6">
      <formula>"P1"</formula>
    </cfRule>
  </conditionalFormatting>
  <dataValidations count="1">
    <dataValidation sqref="H4:I16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coupons, loyalty, pixels, campaigns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GRW-01</t>
        </is>
      </c>
      <c r="B4" s="21" t="inlineStr">
        <is>
          <t>P1</t>
        </is>
      </c>
      <c r="C4" s="22" t="inlineStr">
        <is>
          <t>Owner</t>
        </is>
      </c>
      <c r="D4" s="22" t="inlineStr">
        <is>
          <t>/marketing/coupons</t>
        </is>
      </c>
      <c r="E4" s="22" t="inlineStr">
        <is>
          <t>Create coupon</t>
        </is>
      </c>
      <c r="F4" s="22" t="inlineStr">
        <is>
          <t>Make percent, fixed, free-delivery coupons with limits/dates.</t>
        </is>
      </c>
      <c r="G4" s="22" t="inlineStr">
        <is>
          <t>Saved; code generator works; applies on checkout exactly as set.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GRW-02</t>
        </is>
      </c>
      <c r="B5" s="26" t="inlineStr">
        <is>
          <t>P1</t>
        </is>
      </c>
      <c r="C5" s="27" t="inlineStr">
        <is>
          <t>Owner</t>
        </is>
      </c>
      <c r="D5" s="27" t="inlineStr">
        <is>
          <t>/marketing/coupons</t>
        </is>
      </c>
      <c r="E5" s="27" t="inlineStr">
        <is>
          <t>Coupon rules</t>
        </is>
      </c>
      <c r="F5" s="27" t="inlineStr">
        <is>
          <t>Test min order, total uses, per-customer uses, start/end dates.</t>
        </is>
      </c>
      <c r="G5" s="27" t="inlineStr">
        <is>
          <t>Each rule enforced at checkout.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GRW-03</t>
        </is>
      </c>
      <c r="B6" s="21" t="inlineStr">
        <is>
          <t>P2</t>
        </is>
      </c>
      <c r="C6" s="22" t="inlineStr">
        <is>
          <t>Owner</t>
        </is>
      </c>
      <c r="D6" s="22" t="inlineStr">
        <is>
          <t>/marketing/coupons</t>
        </is>
      </c>
      <c r="E6" s="22" t="inlineStr">
        <is>
          <t>Edit / disable / delete</t>
        </is>
      </c>
      <c r="F6" s="22" t="inlineStr">
        <is>
          <t>Edit, switch off, delete (used one).</t>
        </is>
      </c>
      <c r="G6" s="22" t="inlineStr">
        <is>
          <t>Used coupons switch off instead of delete; message says so.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GRW-04</t>
        </is>
      </c>
      <c r="B7" s="26" t="inlineStr">
        <is>
          <t>P1</t>
        </is>
      </c>
      <c r="C7" s="27" t="inlineStr">
        <is>
          <t>Owner</t>
        </is>
      </c>
      <c r="D7" s="27" t="inlineStr">
        <is>
          <t>/marketing/loyalty</t>
        </is>
      </c>
      <c r="E7" s="27" t="inlineStr">
        <is>
          <t>Loyalty settings</t>
        </is>
      </c>
      <c r="F7" s="27" t="inlineStr">
        <is>
          <t>Turn points on; set earn rate, redeem rate, tiers, birthday, referral.</t>
        </is>
      </c>
      <c r="G7" s="27" t="inlineStr">
        <is>
          <t>Saved; checkout and account follow.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GRW-05</t>
        </is>
      </c>
      <c r="B8" s="21" t="inlineStr">
        <is>
          <t>P2</t>
        </is>
      </c>
      <c r="C8" s="22" t="inlineStr">
        <is>
          <t>Owner</t>
        </is>
      </c>
      <c r="D8" s="22" t="inlineStr">
        <is>
          <t>/marketing/loyalty</t>
        </is>
      </c>
      <c r="E8" s="22" t="inlineStr">
        <is>
          <t>Points by hand</t>
        </is>
      </c>
      <c r="F8" s="22" t="inlineStr">
        <is>
          <t>Add/remove points for a customer with reason.</t>
        </is>
      </c>
      <c r="G8" s="22" t="inlineStr">
        <is>
          <t>Balance changes; reason logged; message button opens WhatsApp.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GRW-06</t>
        </is>
      </c>
      <c r="B9" s="26" t="inlineStr">
        <is>
          <t>P2</t>
        </is>
      </c>
      <c r="C9" s="27" t="inlineStr">
        <is>
          <t>Owner</t>
        </is>
      </c>
      <c r="D9" s="27" t="inlineStr">
        <is>
          <t>/marketing/loyalty</t>
        </is>
      </c>
      <c r="E9" s="27" t="inlineStr">
        <is>
          <t>Tier levels and members</t>
        </is>
      </c>
      <c r="F9" s="27" t="inlineStr">
        <is>
          <t>Deliver orders to cross a tier threshold.</t>
        </is>
      </c>
      <c r="G9" s="27" t="inlineStr">
        <is>
          <t>Tier changes; VIP perks apply; leaderboard right.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GRW-07</t>
        </is>
      </c>
      <c r="B10" s="21" t="inlineStr">
        <is>
          <t>P1</t>
        </is>
      </c>
      <c r="C10" s="22" t="inlineStr">
        <is>
          <t>Owner</t>
        </is>
      </c>
      <c r="D10" s="22" t="inlineStr">
        <is>
          <t>/marketing/pixels</t>
        </is>
      </c>
      <c r="E10" s="22" t="inlineStr">
        <is>
          <t>Meta Pixel / CAPI</t>
        </is>
      </c>
      <c r="F10" s="22" t="inlineStr">
        <is>
          <t>Save Pixel ID and token; browse the store; place an order.</t>
        </is>
      </c>
      <c r="G10" s="22" t="inlineStr">
        <is>
          <t>Events (PageView, ViewContent, AddToCart, Purchase) in Meta Events Manager; browser and server events dedupe.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GRW-08</t>
        </is>
      </c>
      <c r="B11" s="26" t="inlineStr">
        <is>
          <t>P2</t>
        </is>
      </c>
      <c r="C11" s="27" t="inlineStr">
        <is>
          <t>Owner</t>
        </is>
      </c>
      <c r="D11" s="27" t="inlineStr">
        <is>
          <t>/marketing/pixels</t>
        </is>
      </c>
      <c r="E11" s="27" t="inlineStr">
        <is>
          <t>GA4, GTM, TikTok</t>
        </is>
      </c>
      <c r="F11" s="27" t="inlineStr">
        <is>
          <t>Save IDs; browse and order.</t>
        </is>
      </c>
      <c r="G11" s="27" t="inlineStr">
        <is>
          <t>Events reach each tool; no duplicate purchase.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GRW-09</t>
        </is>
      </c>
      <c r="B12" s="21" t="inlineStr">
        <is>
          <t>P2</t>
        </is>
      </c>
      <c r="C12" s="22" t="inlineStr">
        <is>
          <t>Owner</t>
        </is>
      </c>
      <c r="D12" s="22" t="inlineStr">
        <is>
          <t>/marketing/pixels</t>
        </is>
      </c>
      <c r="E12" s="22" t="inlineStr">
        <is>
          <t>Test event</t>
        </is>
      </c>
      <c r="F12" s="22" t="inlineStr">
        <is>
          <t>Send a test event with a test code.</t>
        </is>
      </c>
      <c r="G12" s="22" t="inlineStr">
        <is>
          <t>Appears in Meta Test Events.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GRW-10</t>
        </is>
      </c>
      <c r="B13" s="26" t="inlineStr">
        <is>
          <t>P2</t>
        </is>
      </c>
      <c r="C13" s="27" t="inlineStr">
        <is>
          <t>Owner</t>
        </is>
      </c>
      <c r="D13" s="27" t="inlineStr">
        <is>
          <t>/marketing/ai</t>
        </is>
      </c>
      <c r="E13" s="27" t="inlineStr">
        <is>
          <t>AI studio</t>
        </is>
      </c>
      <c r="F13" s="27" t="inlineStr">
        <is>
          <t>Generate a social post, SMS campaign and banner copy.</t>
        </is>
      </c>
      <c r="G13" s="27" t="inlineStr">
        <is>
          <t>Text generated in the chosen tone; quota respected; error if no key.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GRW-11</t>
        </is>
      </c>
      <c r="B14" s="21" t="inlineStr">
        <is>
          <t>P2</t>
        </is>
      </c>
      <c r="C14" s="22" t="inlineStr">
        <is>
          <t>Owner</t>
        </is>
      </c>
      <c r="D14" s="22" t="inlineStr">
        <is>
          <t>/marketing/banner</t>
        </is>
      </c>
      <c r="E14" s="22" t="inlineStr">
        <is>
          <t>Banner</t>
        </is>
      </c>
      <c r="F14" s="22" t="inlineStr">
        <is>
          <t>Create/enable a banner.</t>
        </is>
      </c>
      <c r="G14" s="22" t="inlineStr">
        <is>
          <t>Shows on the store home.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GRW-12</t>
        </is>
      </c>
      <c r="B15" s="26" t="inlineStr">
        <is>
          <t>P2</t>
        </is>
      </c>
      <c r="C15" s="27" t="inlineStr">
        <is>
          <t>Owner</t>
        </is>
      </c>
      <c r="D15" s="27" t="inlineStr">
        <is>
          <t>/marketing/notifications</t>
        </is>
      </c>
      <c r="E15" s="27" t="inlineStr">
        <is>
          <t>Campaigns / notifications</t>
        </is>
      </c>
      <c r="F15" s="27" t="inlineStr">
        <is>
          <t>Create and send a notification campaign (if enabled).</t>
        </is>
      </c>
      <c r="G15" s="27" t="inlineStr">
        <is>
          <t>Goes to the right audience only; opted-out excluded; credits used.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GRW-13</t>
        </is>
      </c>
      <c r="B16" s="21" t="inlineStr">
        <is>
          <t>P2</t>
        </is>
      </c>
      <c r="C16" s="22" t="inlineStr">
        <is>
          <t>Owner</t>
        </is>
      </c>
      <c r="D16" s="22" t="inlineStr">
        <is>
          <t>Flash sale</t>
        </is>
      </c>
      <c r="E16" s="22" t="inlineStr">
        <is>
          <t>Flash sale</t>
        </is>
      </c>
      <c r="F16" s="22" t="inlineStr">
        <is>
          <t>Turn on a flash sale with end time and coupon.</t>
        </is>
      </c>
      <c r="G16" s="22" t="inlineStr">
        <is>
          <t>Countdown and banner show; ends on time.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GRW-14</t>
        </is>
      </c>
      <c r="B17" s="26" t="inlineStr">
        <is>
          <t>P2</t>
        </is>
      </c>
      <c r="C17" s="27" t="inlineStr">
        <is>
          <t>Owner</t>
        </is>
      </c>
      <c r="D17" s="27" t="inlineStr">
        <is>
          <t>/settings/notifications</t>
        </is>
      </c>
      <c r="E17" s="27" t="inlineStr">
        <is>
          <t>Customer SMS messages</t>
        </is>
      </c>
      <c r="F17" s="27" t="inlineStr">
        <is>
          <t>Turn each message on; edit Bangla/English text.</t>
        </is>
      </c>
      <c r="G17" s="27" t="inlineStr">
        <is>
          <t>Placeholders validated; length/parts shown; preview right; messages send on the event.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GRW-15</t>
        </is>
      </c>
      <c r="B18" s="21" t="inlineStr">
        <is>
          <t>P2</t>
        </is>
      </c>
      <c r="C18" s="22" t="inlineStr">
        <is>
          <t>Owner</t>
        </is>
      </c>
      <c r="D18" s="22" t="inlineStr">
        <is>
          <t>/settings/notifications</t>
        </is>
      </c>
      <c r="E18" s="22" t="inlineStr">
        <is>
          <t>SMS credits</t>
        </is>
      </c>
      <c r="F18" s="22" t="inlineStr">
        <is>
          <t>Check the monthly counter.</t>
        </is>
      </c>
      <c r="G18" s="22" t="inlineStr">
        <is>
          <t>Counts used vs plan limit; stops at the limit.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</sheetData>
  <autoFilter ref="A3:M18"/>
  <conditionalFormatting sqref="J4:J18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8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8">
    <cfRule type="cellIs" priority="6" operator="equal" dxfId="6">
      <formula>"P1"</formula>
    </cfRule>
  </conditionalFormatting>
  <dataValidations count="1">
    <dataValidation sqref="H4:I18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reports, COD payouts, profit, billing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MON-01</t>
        </is>
      </c>
      <c r="B4" s="21" t="inlineStr">
        <is>
          <t>P1</t>
        </is>
      </c>
      <c r="C4" s="22" t="inlineStr">
        <is>
          <t>Owner</t>
        </is>
      </c>
      <c r="D4" s="22" t="inlineStr">
        <is>
          <t>/reports</t>
        </is>
      </c>
      <c r="E4" s="22" t="inlineStr">
        <is>
          <t>Sales report</t>
        </is>
      </c>
      <c r="F4" s="22" t="inlineStr">
        <is>
          <t>Open Reports; try Today, 7, 30 days, this/last month, custom.</t>
        </is>
      </c>
      <c r="G4" s="22" t="inlineStr">
        <is>
          <t>Totals, orders, average order, return rate match Orders; chart and district table right.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MON-02</t>
        </is>
      </c>
      <c r="B5" s="26" t="inlineStr">
        <is>
          <t>P1</t>
        </is>
      </c>
      <c r="C5" s="27" t="inlineStr">
        <is>
          <t>Owner</t>
        </is>
      </c>
      <c r="D5" s="27" t="inlineStr">
        <is>
          <t>/reports</t>
        </is>
      </c>
      <c r="E5" s="27" t="inlineStr">
        <is>
          <t>Report export</t>
        </is>
      </c>
      <c r="F5" s="27" t="inlineStr">
        <is>
          <t>Export CSV.</t>
        </is>
      </c>
      <c r="G5" s="27" t="inlineStr">
        <is>
          <t>Matches screen; safe against formula text.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MON-03</t>
        </is>
      </c>
      <c r="B6" s="21" t="inlineStr">
        <is>
          <t>P2</t>
        </is>
      </c>
      <c r="C6" s="22" t="inlineStr">
        <is>
          <t>Owner</t>
        </is>
      </c>
      <c r="D6" s="22" t="inlineStr">
        <is>
          <t>/reports/products</t>
        </is>
      </c>
      <c r="E6" s="22" t="inlineStr">
        <is>
          <t>Product report</t>
        </is>
      </c>
      <c r="F6" s="22" t="inlineStr">
        <is>
          <t>Open.</t>
        </is>
      </c>
      <c r="G6" s="22" t="inlineStr">
        <is>
          <t>Units, sales, margin, stock runway, dead stock; no error.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MON-04</t>
        </is>
      </c>
      <c r="B7" s="26" t="inlineStr">
        <is>
          <t>P2</t>
        </is>
      </c>
      <c r="C7" s="27" t="inlineStr">
        <is>
          <t>Owner</t>
        </is>
      </c>
      <c r="D7" s="27" t="inlineStr">
        <is>
          <t>/reports/couriers</t>
        </is>
      </c>
      <c r="E7" s="27" t="inlineStr">
        <is>
          <t>Courier report</t>
        </is>
      </c>
      <c r="F7" s="27" t="inlineStr">
        <is>
          <t>Open.</t>
        </is>
      </c>
      <c r="G7" s="27" t="inlineStr">
        <is>
          <t>Delivered/returned per courier and return reasons; no error.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MON-05</t>
        </is>
      </c>
      <c r="B8" s="21" t="inlineStr">
        <is>
          <t>P2</t>
        </is>
      </c>
      <c r="C8" s="22" t="inlineStr">
        <is>
          <t>Owner</t>
        </is>
      </c>
      <c r="D8" s="22" t="inlineStr">
        <is>
          <t>/reports/customers</t>
        </is>
      </c>
      <c r="E8" s="22" t="inlineStr">
        <is>
          <t>Customer report</t>
        </is>
      </c>
      <c r="F8" s="22" t="inlineStr">
        <is>
          <t>Open.</t>
        </is>
      </c>
      <c r="G8" s="22" t="inlineStr">
        <is>
          <t>Segments and repeat rate right.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MON-06</t>
        </is>
      </c>
      <c r="B9" s="26" t="inlineStr">
        <is>
          <t>P1</t>
        </is>
      </c>
      <c r="C9" s="27" t="inlineStr">
        <is>
          <t>Owner</t>
        </is>
      </c>
      <c r="D9" s="27" t="inlineStr">
        <is>
          <t>/finance/cod</t>
        </is>
      </c>
      <c r="E9" s="27" t="inlineStr">
        <is>
          <t>COD payouts</t>
        </is>
      </c>
      <c r="F9" s="27" t="inlineStr">
        <is>
          <t>Open; import a courier payout statement (CSV).</t>
        </is>
      </c>
      <c r="G9" s="27" t="inlineStr">
        <is>
          <t>Parcels matched; 'does not match' flagged; mark matched / raise dispute work; owed vs received right.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MON-07</t>
        </is>
      </c>
      <c r="B10" s="21" t="inlineStr">
        <is>
          <t>P1</t>
        </is>
      </c>
      <c r="C10" s="22" t="inlineStr">
        <is>
          <t>Owner</t>
        </is>
      </c>
      <c r="D10" s="22" t="inlineStr">
        <is>
          <t>/finance/profit</t>
        </is>
      </c>
      <c r="E10" s="22" t="inlineStr">
        <is>
          <t>Profit and loss</t>
        </is>
      </c>
      <c r="F10" s="22" t="inlineStr">
        <is>
          <t>Open; add a cost; change period.</t>
        </is>
      </c>
      <c r="G10" s="22" t="inlineStr">
        <is>
          <t>Delivered sales, costs (incl. courier charges), net profit, margin right; biggest leak shown.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MON-08</t>
        </is>
      </c>
      <c r="B11" s="26" t="inlineStr">
        <is>
          <t>P2</t>
        </is>
      </c>
      <c r="C11" s="27" t="inlineStr">
        <is>
          <t>Owner</t>
        </is>
      </c>
      <c r="D11" s="27" t="inlineStr">
        <is>
          <t>/finance/profit</t>
        </is>
      </c>
      <c r="E11" s="27" t="inlineStr">
        <is>
          <t>Costs</t>
        </is>
      </c>
      <c r="F11" s="27" t="inlineStr">
        <is>
          <t>Add and delete costs by category.</t>
        </is>
      </c>
      <c r="G11" s="27" t="inlineStr">
        <is>
          <t>Totals update.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MON-09</t>
        </is>
      </c>
      <c r="B12" s="21" t="inlineStr">
        <is>
          <t>P1</t>
        </is>
      </c>
      <c r="C12" s="22" t="inlineStr">
        <is>
          <t>Owner</t>
        </is>
      </c>
      <c r="D12" s="22" t="inlineStr">
        <is>
          <t>/billing</t>
        </is>
      </c>
      <c r="E12" s="22" t="inlineStr">
        <is>
          <t>Plan and usage</t>
        </is>
      </c>
      <c r="F12" s="22" t="inlineStr">
        <is>
          <t>Open Billing.</t>
        </is>
      </c>
      <c r="G12" s="22" t="inlineStr">
        <is>
          <t>Plan, products, orders this month, limits right.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MON-10</t>
        </is>
      </c>
      <c r="B13" s="26" t="inlineStr">
        <is>
          <t>P1</t>
        </is>
      </c>
      <c r="C13" s="27" t="inlineStr">
        <is>
          <t>Owner</t>
        </is>
      </c>
      <c r="D13" s="27" t="inlineStr">
        <is>
          <t>/billing</t>
        </is>
      </c>
      <c r="E13" s="27" t="inlineStr">
        <is>
          <t>Pay for the plan</t>
        </is>
      </c>
      <c r="F13" s="27" t="inlineStr">
        <is>
          <t>Choose plan; send bKash/Nagad with TrxID.</t>
        </is>
      </c>
      <c r="G13" s="27" t="inlineStr">
        <is>
          <t>Proof recorded as pending; shows in Platform admin &gt; Payments.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MON-11</t>
        </is>
      </c>
      <c r="B14" s="21" t="inlineStr">
        <is>
          <t>P2</t>
        </is>
      </c>
      <c r="C14" s="22" t="inlineStr">
        <is>
          <t>Owner</t>
        </is>
      </c>
      <c r="D14" s="22" t="inlineStr">
        <is>
          <t>/billing</t>
        </is>
      </c>
      <c r="E14" s="22" t="inlineStr">
        <is>
          <t>Payment history</t>
        </is>
      </c>
      <c r="F14" s="22" t="inlineStr">
        <is>
          <t>Check list.</t>
        </is>
      </c>
      <c r="G14" s="22" t="inlineStr">
        <is>
          <t>Statuses (sent / approved / rejected) right.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MON-12</t>
        </is>
      </c>
      <c r="B15" s="26" t="inlineStr">
        <is>
          <t>P1</t>
        </is>
      </c>
      <c r="C15" s="27" t="inlineStr">
        <is>
          <t>Owner</t>
        </is>
      </c>
      <c r="D15" s="27" t="inlineStr">
        <is>
          <t>Plan limits</t>
        </is>
      </c>
      <c r="E15" s="27" t="inlineStr">
        <is>
          <t>Limits enforced</t>
        </is>
      </c>
      <c r="F15" s="27" t="inlineStr">
        <is>
          <t>Reach product limit / storage limit / staff limit.</t>
        </is>
      </c>
      <c r="G15" s="27" t="inlineStr">
        <is>
          <t>Clear message with 'See your plan'; nothing silently lost.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</sheetData>
  <autoFilter ref="A3:M15"/>
  <conditionalFormatting sqref="J4:J15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5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5">
    <cfRule type="cellIs" priority="6" operator="equal" dxfId="6">
      <formula>"P1"</formula>
    </cfRule>
  </conditionalFormatting>
  <dataValidations count="1">
    <dataValidation sqref="H4:I15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store design, landing pages, content, domains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DSN-01</t>
        </is>
      </c>
      <c r="B4" s="21" t="inlineStr">
        <is>
          <t>P1</t>
        </is>
      </c>
      <c r="C4" s="22" t="inlineStr">
        <is>
          <t>Owner</t>
        </is>
      </c>
      <c r="D4" s="22" t="inlineStr">
        <is>
          <t>/design</t>
        </is>
      </c>
      <c r="E4" s="22" t="inlineStr">
        <is>
          <t>Store design editor</t>
        </is>
      </c>
      <c r="F4" s="22" t="inlineStr">
        <is>
          <t>Open; add/move/delete sections; change colours/fonts/corners.</t>
        </is>
      </c>
      <c r="G4" s="22" t="inlineStr">
        <is>
          <t>Live preview follows; no errors.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DSN-02</t>
        </is>
      </c>
      <c r="B5" s="26" t="inlineStr">
        <is>
          <t>P1</t>
        </is>
      </c>
      <c r="C5" s="27" t="inlineStr">
        <is>
          <t>Owner</t>
        </is>
      </c>
      <c r="D5" s="27" t="inlineStr">
        <is>
          <t>/design</t>
        </is>
      </c>
      <c r="E5" s="27" t="inlineStr">
        <is>
          <t>Publish and versions</t>
        </is>
      </c>
      <c r="F5" s="27" t="inlineStr">
        <is>
          <t>Publish; make another change; go back to the earlier version.</t>
        </is>
      </c>
      <c r="G5" s="27" t="inlineStr">
        <is>
          <t>Store shows published version only; draft private; version restore works.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DSN-03</t>
        </is>
      </c>
      <c r="B6" s="21" t="inlineStr">
        <is>
          <t>P2</t>
        </is>
      </c>
      <c r="C6" s="22" t="inlineStr">
        <is>
          <t>Owner</t>
        </is>
      </c>
      <c r="D6" s="22" t="inlineStr">
        <is>
          <t>/design</t>
        </is>
      </c>
      <c r="E6" s="22" t="inlineStr">
        <is>
          <t>Undo / redo and conflicts</t>
        </is>
      </c>
      <c r="F6" s="22" t="inlineStr">
        <is>
          <t>Use Undo/Redo; edit in two tabs.</t>
        </is>
      </c>
      <c r="G6" s="22" t="inlineStr">
        <is>
          <t>Undo works; conflict message offers 'Load theirs' or 'Keep mine'.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DSN-04</t>
        </is>
      </c>
      <c r="B7" s="26" t="inlineStr">
        <is>
          <t>P2</t>
        </is>
      </c>
      <c r="C7" s="27" t="inlineStr">
        <is>
          <t>Owner</t>
        </is>
      </c>
      <c r="D7" s="27" t="inlineStr">
        <is>
          <t>/design</t>
        </is>
      </c>
      <c r="E7" s="27" t="inlineStr">
        <is>
          <t>Preview sizes and language</t>
        </is>
      </c>
      <c r="F7" s="27" t="inlineStr">
        <is>
          <t>Switch phone/desktop and Bangla/English in preview.</t>
        </is>
      </c>
      <c r="G7" s="27" t="inlineStr">
        <is>
          <t>Preview matches the live store.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DSN-05</t>
        </is>
      </c>
      <c r="B8" s="21" t="inlineStr">
        <is>
          <t>P2</t>
        </is>
      </c>
      <c r="C8" s="22" t="inlineStr">
        <is>
          <t>Owner</t>
        </is>
      </c>
      <c r="D8" s="22" t="inlineStr">
        <is>
          <t>/design</t>
        </is>
      </c>
      <c r="E8" s="22" t="inlineStr">
        <is>
          <t>Header and footer</t>
        </is>
      </c>
      <c r="F8" s="22" t="inlineStr">
        <is>
          <t>Change logo layout, menu, announcement bar, footer columns.</t>
        </is>
      </c>
      <c r="G8" s="22" t="inlineStr">
        <is>
          <t>Live store updates after publish.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DSN-06</t>
        </is>
      </c>
      <c r="B9" s="26" t="inlineStr">
        <is>
          <t>P1</t>
        </is>
      </c>
      <c r="C9" s="27" t="inlineStr">
        <is>
          <t>Owner</t>
        </is>
      </c>
      <c r="D9" s="27" t="inlineStr">
        <is>
          <t>/landing</t>
        </is>
      </c>
      <c r="E9" s="27" t="inlineStr">
        <is>
          <t>Landing pages</t>
        </is>
      </c>
      <c r="F9" s="27" t="inlineStr">
        <is>
          <t>Create a landing page for a product; edit; set offers/bundles and extra item.</t>
        </is>
      </c>
      <c r="G9" s="27" t="inlineStr">
        <is>
          <t>Published page orders work; stats (views, orders per 100 views) count.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DSN-07</t>
        </is>
      </c>
      <c r="B10" s="21" t="inlineStr">
        <is>
          <t>P2</t>
        </is>
      </c>
      <c r="C10" s="22" t="inlineStr">
        <is>
          <t>Owner</t>
        </is>
      </c>
      <c r="D10" s="22" t="inlineStr">
        <is>
          <t>/landing</t>
        </is>
      </c>
      <c r="E10" s="22" t="inlineStr">
        <is>
          <t>Landing pixel and delete</t>
        </is>
      </c>
      <c r="F10" s="22" t="inlineStr">
        <is>
          <t>Set page Pixel ID; delete a page.</t>
        </is>
      </c>
      <c r="G10" s="22" t="inlineStr">
        <is>
          <t>Pixel fires on that page; delete removes it.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DSN-08</t>
        </is>
      </c>
      <c r="B11" s="26" t="inlineStr">
        <is>
          <t>P2</t>
        </is>
      </c>
      <c r="C11" s="27" t="inlineStr">
        <is>
          <t>Owner</t>
        </is>
      </c>
      <c r="D11" s="27" t="inlineStr">
        <is>
          <t>/pages</t>
        </is>
      </c>
      <c r="E11" s="27" t="inlineStr">
        <is>
          <t>Pages built from sections</t>
        </is>
      </c>
      <c r="F11" s="27" t="inlineStr">
        <is>
          <t>Create 'About us' page; edit; set SEO.</t>
        </is>
      </c>
      <c r="G11" s="27" t="inlineStr">
        <is>
          <t>Live at /p/&lt;slug&gt;.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DSN-09</t>
        </is>
      </c>
      <c r="B12" s="21" t="inlineStr">
        <is>
          <t>P2</t>
        </is>
      </c>
      <c r="C12" s="22" t="inlineStr">
        <is>
          <t>Owner</t>
        </is>
      </c>
      <c r="D12" s="22" t="inlineStr">
        <is>
          <t>/content</t>
        </is>
      </c>
      <c r="E12" s="22" t="inlineStr">
        <is>
          <t>Pages and blog</t>
        </is>
      </c>
      <c r="F12" s="22" t="inlineStr">
        <is>
          <t>Write a post with cover and schedule date.</t>
        </is>
      </c>
      <c r="G12" s="22" t="inlineStr">
        <is>
          <t>Visible from the chosen time only.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DSN-10</t>
        </is>
      </c>
      <c r="B13" s="26" t="inlineStr">
        <is>
          <t>P1</t>
        </is>
      </c>
      <c r="C13" s="27" t="inlineStr">
        <is>
          <t>Owner</t>
        </is>
      </c>
      <c r="D13" s="27" t="inlineStr">
        <is>
          <t>/settings/domains</t>
        </is>
      </c>
      <c r="E13" s="27" t="inlineStr">
        <is>
          <t>Connect a domain</t>
        </is>
      </c>
      <c r="F13" s="27" t="inlineStr">
        <is>
          <t>Add a domain; follow the DNS record shown; press Check now.</t>
        </is>
      </c>
      <c r="G13" s="27" t="inlineStr">
        <is>
          <t>Becomes verified with padlock; store opens on it; only verified domains used in links/feeds.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DSN-11</t>
        </is>
      </c>
      <c r="B14" s="21" t="inlineStr">
        <is>
          <t>P2</t>
        </is>
      </c>
      <c r="C14" s="22" t="inlineStr">
        <is>
          <t>Owner</t>
        </is>
      </c>
      <c r="D14" s="22" t="inlineStr">
        <is>
          <t>/settings/domains</t>
        </is>
      </c>
      <c r="E14" s="22" t="inlineStr">
        <is>
          <t>Primary domain / remove</t>
        </is>
      </c>
      <c r="F14" s="22" t="inlineStr">
        <is>
          <t>Make primary; remove.</t>
        </is>
      </c>
      <c r="G14" s="22" t="inlineStr">
        <is>
          <t>Redirects follow; removing stops serving.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</sheetData>
  <autoFilter ref="A3:M14"/>
  <conditionalFormatting sqref="J4:J14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4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4">
    <cfRule type="cellIs" priority="6" operator="equal" dxfId="6">
      <formula>"P1"</formula>
    </cfRule>
  </conditionalFormatting>
  <dataValidations count="1">
    <dataValidation sqref="H4:I14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Admin: settings, team, integrations, security page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SEC-01</t>
        </is>
      </c>
      <c r="B4" s="21" t="inlineStr">
        <is>
          <t>P1</t>
        </is>
      </c>
      <c r="C4" s="22" t="inlineStr">
        <is>
          <t>Owner</t>
        </is>
      </c>
      <c r="D4" s="22" t="inlineStr">
        <is>
          <t>/settings/store</t>
        </is>
      </c>
      <c r="E4" s="22" t="inlineStr">
        <is>
          <t>Store details</t>
        </is>
      </c>
      <c r="F4" s="22" t="inlineStr">
        <is>
          <t>Edit name, Bangla name, tagline, phone, WhatsApp, address, order prefix.</t>
        </is>
      </c>
      <c r="G4" s="22" t="inlineStr">
        <is>
          <t>Saved; store, invoices and SMS use them.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SEC-02</t>
        </is>
      </c>
      <c r="B5" s="26" t="inlineStr">
        <is>
          <t>P1</t>
        </is>
      </c>
      <c r="C5" s="27" t="inlineStr">
        <is>
          <t>Owner</t>
        </is>
      </c>
      <c r="D5" s="27" t="inlineStr">
        <is>
          <t>/settings/store</t>
        </is>
      </c>
      <c r="E5" s="27" t="inlineStr">
        <is>
          <t>Pause and reopen store</t>
        </is>
      </c>
      <c r="F5" s="27" t="inlineStr">
        <is>
          <t>Pause store, test checkout, reopen.</t>
        </is>
      </c>
      <c r="G5" s="27" t="inlineStr">
        <is>
          <t>Checkout refuses while paused; works after reopen.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SEC-03</t>
        </is>
      </c>
      <c r="B6" s="21" t="inlineStr">
        <is>
          <t>P1</t>
        </is>
      </c>
      <c r="C6" s="22" t="inlineStr">
        <is>
          <t>Owner</t>
        </is>
      </c>
      <c r="D6" s="22" t="inlineStr">
        <is>
          <t>/settings/payments</t>
        </is>
      </c>
      <c r="E6" s="22" t="inlineStr">
        <is>
          <t>Payment settings</t>
        </is>
      </c>
      <c r="F6" s="22" t="inlineStr">
        <is>
          <t>Set COD on/off, COD fee and maximum; bKash/Nagad numbers, account type, instructions.</t>
        </is>
      </c>
      <c r="G6" s="22" t="inlineStr">
        <is>
          <t>Checkout follows each setting exactly.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SEC-04</t>
        </is>
      </c>
      <c r="B7" s="26" t="inlineStr">
        <is>
          <t>P2</t>
        </is>
      </c>
      <c r="C7" s="27" t="inlineStr">
        <is>
          <t>Owner</t>
        </is>
      </c>
      <c r="D7" s="27" t="inlineStr">
        <is>
          <t>/settings/payments</t>
        </is>
      </c>
      <c r="E7" s="27" t="inlineStr">
        <is>
          <t>UddoktaPay keys</t>
        </is>
      </c>
      <c r="F7" s="27" t="inlineStr">
        <is>
          <t>Enter keys; test.</t>
        </is>
      </c>
      <c r="G7" s="27" t="inlineStr">
        <is>
          <t>Online option appears at checkout when valid.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SEC-05</t>
        </is>
      </c>
      <c r="B8" s="21" t="inlineStr">
        <is>
          <t>P1</t>
        </is>
      </c>
      <c r="C8" s="22" t="inlineStr">
        <is>
          <t>Owner</t>
        </is>
      </c>
      <c r="D8" s="22" t="inlineStr">
        <is>
          <t>/settings/shipping</t>
        </is>
      </c>
      <c r="E8" s="22" t="inlineStr">
        <is>
          <t>Delivery zones and charges</t>
        </is>
      </c>
      <c r="F8" s="22" t="inlineStr">
        <is>
          <t>Add/edit/delete zones: districts, charge, free-over amount, ETA.</t>
        </is>
      </c>
      <c r="G8" s="22" t="inlineStr">
        <is>
          <t>Checkout charges and ETAs follow; 'all other districts' zone covers the rest.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SEC-06</t>
        </is>
      </c>
      <c r="B9" s="26" t="inlineStr">
        <is>
          <t>P2</t>
        </is>
      </c>
      <c r="C9" s="27" t="inlineStr">
        <is>
          <t>Owner</t>
        </is>
      </c>
      <c r="D9" s="27" t="inlineStr">
        <is>
          <t>/settings/shipping</t>
        </is>
      </c>
      <c r="E9" s="27" t="inlineStr">
        <is>
          <t>Courier charges</t>
        </is>
      </c>
      <c r="F9" s="27" t="inlineStr">
        <is>
          <t>Set inside/outside Dhaka charge and COD %; preferred courier.</t>
        </is>
      </c>
      <c r="G9" s="27" t="inlineStr">
        <is>
          <t>Profit report uses them.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SEC-07</t>
        </is>
      </c>
      <c r="B10" s="21" t="inlineStr">
        <is>
          <t>P2</t>
        </is>
      </c>
      <c r="C10" s="22" t="inlineStr">
        <is>
          <t>Owner</t>
        </is>
      </c>
      <c r="D10" s="22" t="inlineStr">
        <is>
          <t>/settings/invoices</t>
        </is>
      </c>
      <c r="E10" s="22" t="inlineStr">
        <is>
          <t>Invoice layout</t>
        </is>
      </c>
      <c r="F10" s="22" t="inlineStr">
        <is>
          <t>Toggle logo, SKU, prices on slip; footer note; paper size; preview.</t>
        </is>
      </c>
      <c r="G10" s="22" t="inlineStr">
        <is>
          <t>Preview and printed documents match.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SEC-08</t>
        </is>
      </c>
      <c r="B11" s="26" t="inlineStr">
        <is>
          <t>P1</t>
        </is>
      </c>
      <c r="C11" s="27" t="inlineStr">
        <is>
          <t>Owner</t>
        </is>
      </c>
      <c r="D11" s="27" t="inlineStr">
        <is>
          <t>/settings/staff</t>
        </is>
      </c>
      <c r="E11" s="27" t="inlineStr">
        <is>
          <t>Invite and manage team</t>
        </is>
      </c>
      <c r="F11" s="27" t="inlineStr">
        <is>
          <t>Invite each role; change role; deactivate; remove.</t>
        </is>
      </c>
      <c r="G11" s="27" t="inlineStr">
        <is>
          <t>Invite email arrives; role changes apply at next page load; deactivated cannot sign in.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SEC-09</t>
        </is>
      </c>
      <c r="B12" s="21" t="inlineStr">
        <is>
          <t>P1</t>
        </is>
      </c>
      <c r="C12" s="22" t="inlineStr">
        <is>
          <t>Owner</t>
        </is>
      </c>
      <c r="D12" s="22" t="inlineStr">
        <is>
          <t>/settings/staff</t>
        </is>
      </c>
      <c r="E12" s="22" t="inlineStr">
        <is>
          <t>Role explanations</t>
        </is>
      </c>
      <c r="F12" s="22" t="inlineStr">
        <is>
          <t>Open 'What each role can do'.</t>
        </is>
      </c>
      <c r="G12" s="22" t="inlineStr">
        <is>
          <t>Matches the Roles sheet.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SEC-10</t>
        </is>
      </c>
      <c r="B13" s="26" t="inlineStr">
        <is>
          <t>P2</t>
        </is>
      </c>
      <c r="C13" s="27" t="inlineStr">
        <is>
          <t>Owner</t>
        </is>
      </c>
      <c r="D13" s="27" t="inlineStr">
        <is>
          <t>/settings/audit</t>
        </is>
      </c>
      <c r="E13" s="27" t="inlineStr">
        <is>
          <t>Audit log</t>
        </is>
      </c>
      <c r="F13" s="27" t="inlineStr">
        <is>
          <t>Make changes then open the log.</t>
        </is>
      </c>
      <c r="G13" s="27" t="inlineStr">
        <is>
          <t>Each change listed with who/when; secrets never shown.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SEC-11</t>
        </is>
      </c>
      <c r="B14" s="21" t="inlineStr">
        <is>
          <t>P1</t>
        </is>
      </c>
      <c r="C14" s="22" t="inlineStr">
        <is>
          <t>Owner</t>
        </is>
      </c>
      <c r="D14" s="22" t="inlineStr">
        <is>
          <t>/settings/integrations</t>
        </is>
      </c>
      <c r="E14" s="22" t="inlineStr">
        <is>
          <t>Integration keys vault</t>
        </is>
      </c>
      <c r="F14" s="22" t="inlineStr">
        <is>
          <t>Save courier/SMS keys; reopen.</t>
        </is>
      </c>
      <c r="G14" s="22" t="inlineStr">
        <is>
          <t>Keys never shown back; 'saved keys cannot be read' message for a broken key; test says Connected.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SEC-12</t>
        </is>
      </c>
      <c r="B15" s="26" t="inlineStr">
        <is>
          <t>P2</t>
        </is>
      </c>
      <c r="C15" s="27" t="inlineStr">
        <is>
          <t>Owner</t>
        </is>
      </c>
      <c r="D15" s="27" t="inlineStr">
        <is>
          <t>/settings/apps</t>
        </is>
      </c>
      <c r="E15" s="27" t="inlineStr">
        <is>
          <t>Apps &amp; Integrations</t>
        </is>
      </c>
      <c r="F15" s="27" t="inlineStr">
        <is>
          <t>Open the app store; open each app; save settings.</t>
        </is>
      </c>
      <c r="G15" s="27" t="inlineStr">
        <is>
          <t>Plan-locked apps show Upgrade; settings save; Facebook catalog URL shown and works.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SEC-13</t>
        </is>
      </c>
      <c r="B16" s="21" t="inlineStr">
        <is>
          <t>P2</t>
        </is>
      </c>
      <c r="C16" s="22" t="inlineStr">
        <is>
          <t>Owner</t>
        </is>
      </c>
      <c r="D16" s="22" t="inlineStr">
        <is>
          <t>/settings/ai</t>
        </is>
      </c>
      <c r="E16" s="22" t="inlineStr">
        <is>
          <t>AI settings</t>
        </is>
      </c>
      <c r="F16" s="22" t="inlineStr">
        <is>
          <t>Add own Gemini key; chatbot settings.</t>
        </is>
      </c>
      <c r="G16" s="22" t="inlineStr">
        <is>
          <t>Saved; AI features use it.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SEC-14</t>
        </is>
      </c>
      <c r="B17" s="26" t="inlineStr">
        <is>
          <t>P1</t>
        </is>
      </c>
      <c r="C17" s="27" t="inlineStr">
        <is>
          <t>Owner</t>
        </is>
      </c>
      <c r="D17" s="27" t="inlineStr">
        <is>
          <t>/security</t>
        </is>
      </c>
      <c r="E17" s="27" t="inlineStr">
        <is>
          <t>Security page</t>
        </is>
      </c>
      <c r="F17" s="27" t="inlineStr">
        <is>
          <t>Turn two-factor on/off; change password.</t>
        </is>
      </c>
      <c r="G17" s="27" t="inlineStr">
        <is>
          <t>Works; old password required.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SEC-15</t>
        </is>
      </c>
      <c r="B18" s="21" t="inlineStr">
        <is>
          <t>P2</t>
        </is>
      </c>
      <c r="C18" s="22" t="inlineStr">
        <is>
          <t>Owner</t>
        </is>
      </c>
      <c r="D18" s="22" t="inlineStr">
        <is>
          <t>/more</t>
        </is>
      </c>
      <c r="E18" s="22" t="inlineStr">
        <is>
          <t>More page</t>
        </is>
      </c>
      <c r="F18" s="22" t="inlineStr">
        <is>
          <t>Open on phone.</t>
        </is>
      </c>
      <c r="G18" s="22" t="inlineStr">
        <is>
          <t>All other pages reachable; install and theme controls present.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</sheetData>
  <autoFilter ref="A3:M18"/>
  <conditionalFormatting sqref="J4:J18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8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8">
    <cfRule type="cellIs" priority="6" operator="equal" dxfId="6">
      <formula>"P1"</formula>
    </cfRule>
  </conditionalFormatting>
  <dataValidations count="1">
    <dataValidation sqref="H4:I18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Platform (super) admin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PLT-01</t>
        </is>
      </c>
      <c r="B4" s="21" t="inlineStr">
        <is>
          <t>P1</t>
        </is>
      </c>
      <c r="C4" s="22" t="inlineStr">
        <is>
          <t>Platform owner</t>
        </is>
      </c>
      <c r="D4" s="22" t="inlineStr">
        <is>
          <t>Login</t>
        </is>
      </c>
      <c r="E4" s="22" t="inlineStr">
        <is>
          <t>Platform sign-in and MFA</t>
        </is>
      </c>
      <c r="F4" s="22" t="inlineStr">
        <is>
          <t>Sign in to the platform admin; enrol authenticator.</t>
        </is>
      </c>
      <c r="G4" s="22" t="inlineStr">
        <is>
          <t>Two-factor required; wrong code refused; no access without sign-in.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PLT-02</t>
        </is>
      </c>
      <c r="B5" s="26" t="inlineStr">
        <is>
          <t>P1</t>
        </is>
      </c>
      <c r="C5" s="27" t="inlineStr">
        <is>
          <t>Platform owner</t>
        </is>
      </c>
      <c r="D5" s="27" t="inlineStr">
        <is>
          <t>/</t>
        </is>
      </c>
      <c r="E5" s="27" t="inlineStr">
        <is>
          <t>Dashboard</t>
        </is>
      </c>
      <c r="F5" s="27" t="inlineStr">
        <is>
          <t>Open.</t>
        </is>
      </c>
      <c r="G5" s="27" t="inlineStr">
        <is>
          <t>Tenants, revenue, health numbers right; health matrix shows DB, AI, SMS status.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PLT-03</t>
        </is>
      </c>
      <c r="B6" s="21" t="inlineStr">
        <is>
          <t>P1</t>
        </is>
      </c>
      <c r="C6" s="22" t="inlineStr">
        <is>
          <t>Platform owner</t>
        </is>
      </c>
      <c r="D6" s="22" t="inlineStr">
        <is>
          <t>/tenants</t>
        </is>
      </c>
      <c r="E6" s="22" t="inlineStr">
        <is>
          <t>Tenant list</t>
        </is>
      </c>
      <c r="F6" s="22" t="inlineStr">
        <is>
          <t>Search and filter by status/plan.</t>
        </is>
      </c>
      <c r="G6" s="22" t="inlineStr">
        <is>
          <t>All stores listed; counts right.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PLT-04</t>
        </is>
      </c>
      <c r="B7" s="26" t="inlineStr">
        <is>
          <t>P1</t>
        </is>
      </c>
      <c r="C7" s="27" t="inlineStr">
        <is>
          <t>Platform owner</t>
        </is>
      </c>
      <c r="D7" s="27" t="inlineStr">
        <is>
          <t>/tenants/&lt;id&gt;</t>
        </is>
      </c>
      <c r="E7" s="27" t="inlineStr">
        <is>
          <t>Tenant detail</t>
        </is>
      </c>
      <c r="F7" s="27" t="inlineStr">
        <is>
          <t>Open a store.</t>
        </is>
      </c>
      <c r="G7" s="27" t="inlineStr">
        <is>
          <t>Plan, usage, domains, owners, notes, quota adjustments, history.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PLT-05</t>
        </is>
      </c>
      <c r="B8" s="21" t="inlineStr">
        <is>
          <t>P1</t>
        </is>
      </c>
      <c r="C8" s="22" t="inlineStr">
        <is>
          <t>Platform owner</t>
        </is>
      </c>
      <c r="D8" s="22" t="inlineStr">
        <is>
          <t>/tenants/&lt;id&gt;</t>
        </is>
      </c>
      <c r="E8" s="22" t="inlineStr">
        <is>
          <t>Suspend and reactivate</t>
        </is>
      </c>
      <c r="F8" s="22" t="inlineStr">
        <is>
          <t>Suspend a test store; reactivate.</t>
        </is>
      </c>
      <c r="G8" s="22" t="inlineStr">
        <is>
          <t>Suspended store admin is locked and storefront shows closed; reactivation restores.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PLT-06</t>
        </is>
      </c>
      <c r="B9" s="26" t="inlineStr">
        <is>
          <t>P1</t>
        </is>
      </c>
      <c r="C9" s="27" t="inlineStr">
        <is>
          <t>Platform owner</t>
        </is>
      </c>
      <c r="D9" s="27" t="inlineStr">
        <is>
          <t>/tenants/&lt;id&gt;</t>
        </is>
      </c>
      <c r="E9" s="27" t="inlineStr">
        <is>
          <t>Impersonate (support view)</t>
        </is>
      </c>
      <c r="F9" s="27" t="inlineStr">
        <is>
          <t>Start support access; do something; exit.</t>
        </is>
      </c>
      <c r="G9" s="27" t="inlineStr">
        <is>
          <t>Banner shows; bulk exports blocked; audit log records start and end.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PLT-07</t>
        </is>
      </c>
      <c r="B10" s="21" t="inlineStr">
        <is>
          <t>P2</t>
        </is>
      </c>
      <c r="C10" s="22" t="inlineStr">
        <is>
          <t>Platform owner</t>
        </is>
      </c>
      <c r="D10" s="22" t="inlineStr">
        <is>
          <t>/tenants/&lt;id&gt;</t>
        </is>
      </c>
      <c r="E10" s="22" t="inlineStr">
        <is>
          <t>Change plan / extend trial / quota</t>
        </is>
      </c>
      <c r="F10" s="22" t="inlineStr">
        <is>
          <t>Change a plan; adjust quota.</t>
        </is>
      </c>
      <c r="G10" s="22" t="inlineStr">
        <is>
          <t>Limits change at once; logged.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PLT-08</t>
        </is>
      </c>
      <c r="B11" s="26" t="inlineStr">
        <is>
          <t>P1</t>
        </is>
      </c>
      <c r="C11" s="27" t="inlineStr">
        <is>
          <t>Finance</t>
        </is>
      </c>
      <c r="D11" s="27" t="inlineStr">
        <is>
          <t>/payments</t>
        </is>
      </c>
      <c r="E11" s="27" t="inlineStr">
        <is>
          <t>Approve / reject payment proofs</t>
        </is>
      </c>
      <c r="F11" s="27" t="inlineStr">
        <is>
          <t>Open pending proofs from stores; approve one, reject one with reason.</t>
        </is>
      </c>
      <c r="G11" s="27" t="inlineStr">
        <is>
          <t>Approve: plan active until the right date; reject: store told; both audited.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PLT-09</t>
        </is>
      </c>
      <c r="B12" s="21" t="inlineStr">
        <is>
          <t>P2</t>
        </is>
      </c>
      <c r="C12" s="22" t="inlineStr">
        <is>
          <t>Finance</t>
        </is>
      </c>
      <c r="D12" s="22" t="inlineStr">
        <is>
          <t>/payments</t>
        </is>
      </c>
      <c r="E12" s="22" t="inlineStr">
        <is>
          <t>Duplicate / wrong amount proofs</t>
        </is>
      </c>
      <c r="F12" s="22" t="inlineStr">
        <is>
          <t>Submit a proof with a reused TrxID.</t>
        </is>
      </c>
      <c r="G12" s="22" t="inlineStr">
        <is>
          <t>Flagged or refused.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PLT-10</t>
        </is>
      </c>
      <c r="B13" s="26" t="inlineStr">
        <is>
          <t>P2</t>
        </is>
      </c>
      <c r="C13" s="27" t="inlineStr">
        <is>
          <t>Platform owner</t>
        </is>
      </c>
      <c r="D13" s="27" t="inlineStr">
        <is>
          <t>/plans</t>
        </is>
      </c>
      <c r="E13" s="27" t="inlineStr">
        <is>
          <t>Plans and promos</t>
        </is>
      </c>
      <c r="F13" s="27" t="inlineStr">
        <is>
          <t>Edit a plan price/limits; create/disable a promo code.</t>
        </is>
      </c>
      <c r="G13" s="27" t="inlineStr">
        <is>
          <t>Marketing pricing page and billing follow; promo validates by tier/interval/expiry.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PLT-11</t>
        </is>
      </c>
      <c r="B14" s="21" t="inlineStr">
        <is>
          <t>P2</t>
        </is>
      </c>
      <c r="C14" s="22" t="inlineStr">
        <is>
          <t>Platform owner</t>
        </is>
      </c>
      <c r="D14" s="22" t="inlineStr">
        <is>
          <t>/domains</t>
        </is>
      </c>
      <c r="E14" s="22" t="inlineStr">
        <is>
          <t>Domains overview</t>
        </is>
      </c>
      <c r="F14" s="22" t="inlineStr">
        <is>
          <t>Open.</t>
        </is>
      </c>
      <c r="G14" s="22" t="inlineStr">
        <is>
          <t>All stores' domains with verification state.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PLT-12</t>
        </is>
      </c>
      <c r="B15" s="26" t="inlineStr">
        <is>
          <t>P2</t>
        </is>
      </c>
      <c r="C15" s="27" t="inlineStr">
        <is>
          <t>Platform owner</t>
        </is>
      </c>
      <c r="D15" s="27" t="inlineStr">
        <is>
          <t>/themes</t>
        </is>
      </c>
      <c r="E15" s="27" t="inlineStr">
        <is>
          <t>Themes and modules control</t>
        </is>
      </c>
      <c r="F15" s="27" t="inlineStr">
        <is>
          <t>Open; change a module's minimum plan; set maintenance.</t>
        </is>
      </c>
      <c r="G15" s="27" t="inlineStr">
        <is>
          <t>Select saves on change (no error); stores see the change.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PLT-13</t>
        </is>
      </c>
      <c r="B16" s="21" t="inlineStr">
        <is>
          <t>P2</t>
        </is>
      </c>
      <c r="C16" s="22" t="inlineStr">
        <is>
          <t>Platform owner</t>
        </is>
      </c>
      <c r="D16" s="22" t="inlineStr">
        <is>
          <t>/announcements</t>
        </is>
      </c>
      <c r="E16" s="22" t="inlineStr">
        <is>
          <t>Announcements</t>
        </is>
      </c>
      <c r="F16" s="22" t="inlineStr">
        <is>
          <t>Create one for all stores.</t>
        </is>
      </c>
      <c r="G16" s="22" t="inlineStr">
        <is>
          <t>Shows in store admins; can be removed.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PLT-14</t>
        </is>
      </c>
      <c r="B17" s="26" t="inlineStr">
        <is>
          <t>P2</t>
        </is>
      </c>
      <c r="C17" s="27" t="inlineStr">
        <is>
          <t>Support lead</t>
        </is>
      </c>
      <c r="D17" s="27" t="inlineStr">
        <is>
          <t>/inquiries</t>
        </is>
      </c>
      <c r="E17" s="27" t="inlineStr">
        <is>
          <t>Marketing inquiries</t>
        </is>
      </c>
      <c r="F17" s="27" t="inlineStr">
        <is>
          <t>Open.</t>
        </is>
      </c>
      <c r="G17" s="27" t="inlineStr">
        <is>
          <t>Contact-form messages from the marketing site appear.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PLT-15</t>
        </is>
      </c>
      <c r="B18" s="21" t="inlineStr">
        <is>
          <t>P2</t>
        </is>
      </c>
      <c r="C18" s="22" t="inlineStr">
        <is>
          <t>Support</t>
        </is>
      </c>
      <c r="D18" s="22" t="inlineStr">
        <is>
          <t>/tickets</t>
        </is>
      </c>
      <c r="E18" s="22" t="inlineStr">
        <is>
          <t>Support tickets</t>
        </is>
      </c>
      <c r="F18" s="22" t="inlineStr">
        <is>
          <t>Reply to a store's ticket.</t>
        </is>
      </c>
      <c r="G18" s="22" t="inlineStr">
        <is>
          <t>Reply visible to the store; status changes.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PLT-16</t>
        </is>
      </c>
      <c r="B19" s="26" t="inlineStr">
        <is>
          <t>P2</t>
        </is>
      </c>
      <c r="C19" s="27" t="inlineStr">
        <is>
          <t>Platform owner</t>
        </is>
      </c>
      <c r="D19" s="27" t="inlineStr">
        <is>
          <t>/usage</t>
        </is>
      </c>
      <c r="E19" s="27" t="inlineStr">
        <is>
          <t>Usage</t>
        </is>
      </c>
      <c r="F19" s="27" t="inlineStr">
        <is>
          <t>Open.</t>
        </is>
      </c>
      <c r="G19" s="27" t="inlineStr">
        <is>
          <t>Orders, SMS, storage per store right.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PLT-17</t>
        </is>
      </c>
      <c r="B20" s="21" t="inlineStr">
        <is>
          <t>P1</t>
        </is>
      </c>
      <c r="C20" s="22" t="inlineStr">
        <is>
          <t>Platform owner</t>
        </is>
      </c>
      <c r="D20" s="22" t="inlineStr">
        <is>
          <t>/audit</t>
        </is>
      </c>
      <c r="E20" s="22" t="inlineStr">
        <is>
          <t>Platform audit and team</t>
        </is>
      </c>
      <c r="F20" s="22" t="inlineStr">
        <is>
          <t>Open; change a team member's role with the select.</t>
        </is>
      </c>
      <c r="G20" s="22" t="inlineStr">
        <is>
          <t>Role saves on change; audit entry; page loads without error.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PLT-18</t>
        </is>
      </c>
      <c r="B21" s="26" t="inlineStr">
        <is>
          <t>P1</t>
        </is>
      </c>
      <c r="C21" s="27" t="inlineStr">
        <is>
          <t>Platform owner</t>
        </is>
      </c>
      <c r="D21" s="27" t="inlineStr">
        <is>
          <t>/settings</t>
        </is>
      </c>
      <c r="E21" s="27" t="inlineStr">
        <is>
          <t>AI / SMS / Couriers / Payments / Mail tabs</t>
        </is>
      </c>
      <c r="F21" s="27" t="inlineStr">
        <is>
          <t>Open each tab; save; use Test buttons.</t>
        </is>
      </c>
      <c r="G21" s="27" t="inlineStr">
        <is>
          <t>Keys masked after save; tests report clearly; nothing printed in full.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PLT-19</t>
        </is>
      </c>
      <c r="B22" s="21" t="inlineStr">
        <is>
          <t>P1</t>
        </is>
      </c>
      <c r="C22" s="22" t="inlineStr">
        <is>
          <t>Platform owner</t>
        </is>
      </c>
      <c r="D22" s="22" t="inlineStr">
        <is>
          <t>/settings</t>
        </is>
      </c>
      <c r="E22" s="22" t="inlineStr">
        <is>
          <t>Fraud checker tab</t>
        </is>
      </c>
      <c r="F22" s="22" t="inlineStr">
        <is>
          <t>Enter key; Test; Save; Remove saved key.</t>
        </is>
      </c>
      <c r="G22" s="22" t="inlineStr">
        <is>
          <t>Works; stores and the marketing tool pick it up within a minute; no key anywhere in the code.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PLT-20</t>
        </is>
      </c>
      <c r="B23" s="26" t="inlineStr">
        <is>
          <t>P1</t>
        </is>
      </c>
      <c r="C23" s="27" t="inlineStr">
        <is>
          <t>Support (limited role)</t>
        </is>
      </c>
      <c r="D23" s="27" t="inlineStr">
        <is>
          <t>All</t>
        </is>
      </c>
      <c r="E23" s="27" t="inlineStr">
        <is>
          <t>Role limits</t>
        </is>
      </c>
      <c r="F23" s="27" t="inlineStr">
        <is>
          <t>Sign in as support/finance; try restricted pages.</t>
        </is>
      </c>
      <c r="G23" s="27" t="inlineStr">
        <is>
          <t>Redirected to no-access; actions refused on the server too.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</sheetData>
  <autoFilter ref="A3:M23"/>
  <conditionalFormatting sqref="J4:J23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23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23">
    <cfRule type="cellIs" priority="6" operator="equal" dxfId="6">
      <formula>"P1"</formula>
    </cfRule>
  </conditionalFormatting>
  <dataValidations count="1">
    <dataValidation sqref="H4:I23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M43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Roles and permissions (sign in as each role)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ROL-01</t>
        </is>
      </c>
      <c r="B4" s="21" t="inlineStr">
        <is>
          <t>P2</t>
        </is>
      </c>
      <c r="C4" s="22" t="inlineStr">
        <is>
          <t>Store owner</t>
        </is>
      </c>
      <c r="D4" s="22" t="inlineStr">
        <is>
          <t>/orders</t>
        </is>
      </c>
      <c r="E4" s="22" t="inlineStr">
        <is>
          <t>Store owner: Orders (list, detail, returns, abandoned, fraud)</t>
        </is>
      </c>
      <c r="F4" s="22" t="inlineStr">
        <is>
          <t>Sign in as Store owner. Open /orders and try to use the area.</t>
        </is>
      </c>
      <c r="G4" s="22" t="inlineStr">
        <is>
          <t>Can open and change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ROL-02</t>
        </is>
      </c>
      <c r="B5" s="26" t="inlineStr">
        <is>
          <t>P2</t>
        </is>
      </c>
      <c r="C5" s="27" t="inlineStr">
        <is>
          <t>Store owner</t>
        </is>
      </c>
      <c r="D5" s="27" t="inlineStr">
        <is>
          <t>/products</t>
        </is>
      </c>
      <c r="E5" s="27" t="inlineStr">
        <is>
          <t>Store owner: Products, categories, inventory, POS</t>
        </is>
      </c>
      <c r="F5" s="27" t="inlineStr">
        <is>
          <t>Sign in as Store owner. Open /products and try to use the area.</t>
        </is>
      </c>
      <c r="G5" s="27" t="inlineStr">
        <is>
          <t>Can open and change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ROL-03</t>
        </is>
      </c>
      <c r="B6" s="21" t="inlineStr">
        <is>
          <t>P2</t>
        </is>
      </c>
      <c r="C6" s="22" t="inlineStr">
        <is>
          <t>Store owner</t>
        </is>
      </c>
      <c r="D6" s="22" t="inlineStr">
        <is>
          <t>/customers</t>
        </is>
      </c>
      <c r="E6" s="22" t="inlineStr">
        <is>
          <t>Store owner: Customers and Inbox</t>
        </is>
      </c>
      <c r="F6" s="22" t="inlineStr">
        <is>
          <t>Sign in as Store owner. Open /customers and try to use the area.</t>
        </is>
      </c>
      <c r="G6" s="22" t="inlineStr">
        <is>
          <t>Can open and change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ROL-04</t>
        </is>
      </c>
      <c r="B7" s="26" t="inlineStr">
        <is>
          <t>P2</t>
        </is>
      </c>
      <c r="C7" s="27" t="inlineStr">
        <is>
          <t>Store owner</t>
        </is>
      </c>
      <c r="D7" s="27" t="inlineStr">
        <is>
          <t>/marketing/coupons</t>
        </is>
      </c>
      <c r="E7" s="27" t="inlineStr">
        <is>
          <t>Store owner: Discounts, loyalty, pixels, reviews, campaigns</t>
        </is>
      </c>
      <c r="F7" s="27" t="inlineStr">
        <is>
          <t>Sign in as Store owner. Open /marketing/coupons and try to use the area.</t>
        </is>
      </c>
      <c r="G7" s="27" t="inlineStr">
        <is>
          <t>Can open and change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ROL-05</t>
        </is>
      </c>
      <c r="B8" s="21" t="inlineStr">
        <is>
          <t>P1</t>
        </is>
      </c>
      <c r="C8" s="22" t="inlineStr">
        <is>
          <t>Store owner</t>
        </is>
      </c>
      <c r="D8" s="22" t="inlineStr">
        <is>
          <t>/reports</t>
        </is>
      </c>
      <c r="E8" s="22" t="inlineStr">
        <is>
          <t>Store owner: Reports, COD payouts, profit</t>
        </is>
      </c>
      <c r="F8" s="22" t="inlineStr">
        <is>
          <t>Sign in as Store owner. Open /reports and try to use the area.</t>
        </is>
      </c>
      <c r="G8" s="22" t="inlineStr">
        <is>
          <t>Can open and change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ROL-06</t>
        </is>
      </c>
      <c r="B9" s="26" t="inlineStr">
        <is>
          <t>P2</t>
        </is>
      </c>
      <c r="C9" s="27" t="inlineStr">
        <is>
          <t>Store owner</t>
        </is>
      </c>
      <c r="D9" s="27" t="inlineStr">
        <is>
          <t>/design</t>
        </is>
      </c>
      <c r="E9" s="27" t="inlineStr">
        <is>
          <t>Store owner: Store design, landing pages, content, settings pages, support</t>
        </is>
      </c>
      <c r="F9" s="27" t="inlineStr">
        <is>
          <t>Sign in as Store owner. Open /design and try to use the area.</t>
        </is>
      </c>
      <c r="G9" s="27" t="inlineStr">
        <is>
          <t>Can open and change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ROL-07</t>
        </is>
      </c>
      <c r="B10" s="21" t="inlineStr">
        <is>
          <t>P1</t>
        </is>
      </c>
      <c r="C10" s="22" t="inlineStr">
        <is>
          <t>Store owner</t>
        </is>
      </c>
      <c r="D10" s="22" t="inlineStr">
        <is>
          <t>/billing</t>
        </is>
      </c>
      <c r="E10" s="22" t="inlineStr">
        <is>
          <t>Store owner: Billing, integrations and apps</t>
        </is>
      </c>
      <c r="F10" s="22" t="inlineStr">
        <is>
          <t>Sign in as Store owner. Open /billing and try to use the area.</t>
        </is>
      </c>
      <c r="G10" s="22" t="inlineStr">
        <is>
          <t>Can open and change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ROL-08</t>
        </is>
      </c>
      <c r="B11" s="26" t="inlineStr">
        <is>
          <t>P1</t>
        </is>
      </c>
      <c r="C11" s="27" t="inlineStr">
        <is>
          <t>Store owner</t>
        </is>
      </c>
      <c r="D11" s="27" t="inlineStr">
        <is>
          <t>/settings/staff</t>
        </is>
      </c>
      <c r="E11" s="27" t="inlineStr">
        <is>
          <t>Store owner: Team (staff, audit)</t>
        </is>
      </c>
      <c r="F11" s="27" t="inlineStr">
        <is>
          <t>Sign in as Store owner. Open /settings/staff and try to use the area.</t>
        </is>
      </c>
      <c r="G11" s="27" t="inlineStr">
        <is>
          <t>Can open and change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ROL-09</t>
        </is>
      </c>
      <c r="B12" s="21" t="inlineStr">
        <is>
          <t>P2</t>
        </is>
      </c>
      <c r="C12" s="22" t="inlineStr">
        <is>
          <t>Manager</t>
        </is>
      </c>
      <c r="D12" s="22" t="inlineStr">
        <is>
          <t>/orders</t>
        </is>
      </c>
      <c r="E12" s="22" t="inlineStr">
        <is>
          <t>Manager: Orders (list, detail, returns, abandoned, fraud)</t>
        </is>
      </c>
      <c r="F12" s="22" t="inlineStr">
        <is>
          <t>Sign in as Manager. Open /orders and try to use the area.</t>
        </is>
      </c>
      <c r="G12" s="22" t="inlineStr">
        <is>
          <t>Can open and change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ROL-10</t>
        </is>
      </c>
      <c r="B13" s="26" t="inlineStr">
        <is>
          <t>P2</t>
        </is>
      </c>
      <c r="C13" s="27" t="inlineStr">
        <is>
          <t>Manager</t>
        </is>
      </c>
      <c r="D13" s="27" t="inlineStr">
        <is>
          <t>/products</t>
        </is>
      </c>
      <c r="E13" s="27" t="inlineStr">
        <is>
          <t>Manager: Products, categories, inventory, POS</t>
        </is>
      </c>
      <c r="F13" s="27" t="inlineStr">
        <is>
          <t>Sign in as Manager. Open /products and try to use the area.</t>
        </is>
      </c>
      <c r="G13" s="27" t="inlineStr">
        <is>
          <t>Can open and change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ROL-11</t>
        </is>
      </c>
      <c r="B14" s="21" t="inlineStr">
        <is>
          <t>P2</t>
        </is>
      </c>
      <c r="C14" s="22" t="inlineStr">
        <is>
          <t>Manager</t>
        </is>
      </c>
      <c r="D14" s="22" t="inlineStr">
        <is>
          <t>/customers</t>
        </is>
      </c>
      <c r="E14" s="22" t="inlineStr">
        <is>
          <t>Manager: Customers and Inbox</t>
        </is>
      </c>
      <c r="F14" s="22" t="inlineStr">
        <is>
          <t>Sign in as Manager. Open /customers and try to use the area.</t>
        </is>
      </c>
      <c r="G14" s="22" t="inlineStr">
        <is>
          <t>Can open and change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ROL-12</t>
        </is>
      </c>
      <c r="B15" s="26" t="inlineStr">
        <is>
          <t>P2</t>
        </is>
      </c>
      <c r="C15" s="27" t="inlineStr">
        <is>
          <t>Manager</t>
        </is>
      </c>
      <c r="D15" s="27" t="inlineStr">
        <is>
          <t>/marketing/coupons</t>
        </is>
      </c>
      <c r="E15" s="27" t="inlineStr">
        <is>
          <t>Manager: Discounts, loyalty, pixels, reviews, campaigns</t>
        </is>
      </c>
      <c r="F15" s="27" t="inlineStr">
        <is>
          <t>Sign in as Manager. Open /marketing/coupons and try to use the area.</t>
        </is>
      </c>
      <c r="G15" s="27" t="inlineStr">
        <is>
          <t>Can open and change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ROL-13</t>
        </is>
      </c>
      <c r="B16" s="21" t="inlineStr">
        <is>
          <t>P1</t>
        </is>
      </c>
      <c r="C16" s="22" t="inlineStr">
        <is>
          <t>Manager</t>
        </is>
      </c>
      <c r="D16" s="22" t="inlineStr">
        <is>
          <t>/reports</t>
        </is>
      </c>
      <c r="E16" s="22" t="inlineStr">
        <is>
          <t>Manager: Reports, COD payouts, profit</t>
        </is>
      </c>
      <c r="F16" s="22" t="inlineStr">
        <is>
          <t>Sign in as Manager. Open /reports and try to use the area.</t>
        </is>
      </c>
      <c r="G16" s="22" t="inlineStr">
        <is>
          <t>Can open and look only; no change buttons; actions refused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ROL-14</t>
        </is>
      </c>
      <c r="B17" s="26" t="inlineStr">
        <is>
          <t>P2</t>
        </is>
      </c>
      <c r="C17" s="27" t="inlineStr">
        <is>
          <t>Manager</t>
        </is>
      </c>
      <c r="D17" s="27" t="inlineStr">
        <is>
          <t>/design</t>
        </is>
      </c>
      <c r="E17" s="27" t="inlineStr">
        <is>
          <t>Manager: Store design, landing pages, content, settings pages, support</t>
        </is>
      </c>
      <c r="F17" s="27" t="inlineStr">
        <is>
          <t>Sign in as Manager. Open /design and try to use the area.</t>
        </is>
      </c>
      <c r="G17" s="27" t="inlineStr">
        <is>
          <t>Can open and change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ROL-15</t>
        </is>
      </c>
      <c r="B18" s="21" t="inlineStr">
        <is>
          <t>P1</t>
        </is>
      </c>
      <c r="C18" s="22" t="inlineStr">
        <is>
          <t>Manager</t>
        </is>
      </c>
      <c r="D18" s="22" t="inlineStr">
        <is>
          <t>/billing</t>
        </is>
      </c>
      <c r="E18" s="22" t="inlineStr">
        <is>
          <t>Manager: Billing, integrations and apps</t>
        </is>
      </c>
      <c r="F18" s="22" t="inlineStr">
        <is>
          <t>Sign in as Manager. Open /billing and try to use the area.</t>
        </is>
      </c>
      <c r="G18" s="22" t="inlineStr">
        <is>
          <t>Cannot open: redirected to 'no access'; menu item hidden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ROL-16</t>
        </is>
      </c>
      <c r="B19" s="26" t="inlineStr">
        <is>
          <t>P1</t>
        </is>
      </c>
      <c r="C19" s="27" t="inlineStr">
        <is>
          <t>Manager</t>
        </is>
      </c>
      <c r="D19" s="27" t="inlineStr">
        <is>
          <t>/settings/staff</t>
        </is>
      </c>
      <c r="E19" s="27" t="inlineStr">
        <is>
          <t>Manager: Team (staff, audit)</t>
        </is>
      </c>
      <c r="F19" s="27" t="inlineStr">
        <is>
          <t>Sign in as Manager. Open /settings/staff and try to use the area.</t>
        </is>
      </c>
      <c r="G19" s="27" t="inlineStr">
        <is>
          <t>Cannot open: redirected to 'no access'; menu item hidden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ROL-17</t>
        </is>
      </c>
      <c r="B20" s="21" t="inlineStr">
        <is>
          <t>P2</t>
        </is>
      </c>
      <c r="C20" s="22" t="inlineStr">
        <is>
          <t>Order packer</t>
        </is>
      </c>
      <c r="D20" s="22" t="inlineStr">
        <is>
          <t>/orders</t>
        </is>
      </c>
      <c r="E20" s="22" t="inlineStr">
        <is>
          <t>Order packer: Orders (list, detail, returns, abandoned, fraud)</t>
        </is>
      </c>
      <c r="F20" s="22" t="inlineStr">
        <is>
          <t>Sign in as Order packer. Open /orders and try to use the area.</t>
        </is>
      </c>
      <c r="G20" s="22" t="inlineStr">
        <is>
          <t>Can open and change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ROL-18</t>
        </is>
      </c>
      <c r="B21" s="26" t="inlineStr">
        <is>
          <t>P2</t>
        </is>
      </c>
      <c r="C21" s="27" t="inlineStr">
        <is>
          <t>Order packer</t>
        </is>
      </c>
      <c r="D21" s="27" t="inlineStr">
        <is>
          <t>/products</t>
        </is>
      </c>
      <c r="E21" s="27" t="inlineStr">
        <is>
          <t>Order packer: Products, categories, inventory, POS</t>
        </is>
      </c>
      <c r="F21" s="27" t="inlineStr">
        <is>
          <t>Sign in as Order packer. Open /products and try to use the area.</t>
        </is>
      </c>
      <c r="G21" s="27" t="inlineStr">
        <is>
          <t>Can open and change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ROL-19</t>
        </is>
      </c>
      <c r="B22" s="21" t="inlineStr">
        <is>
          <t>P2</t>
        </is>
      </c>
      <c r="C22" s="22" t="inlineStr">
        <is>
          <t>Order packer</t>
        </is>
      </c>
      <c r="D22" s="22" t="inlineStr">
        <is>
          <t>/customers</t>
        </is>
      </c>
      <c r="E22" s="22" t="inlineStr">
        <is>
          <t>Order packer: Customers and Inbox</t>
        </is>
      </c>
      <c r="F22" s="22" t="inlineStr">
        <is>
          <t>Sign in as Order packer. Open /customers and try to use the area.</t>
        </is>
      </c>
      <c r="G22" s="22" t="inlineStr">
        <is>
          <t>Can open and look only; no change buttons; actions refused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ROL-20</t>
        </is>
      </c>
      <c r="B23" s="26" t="inlineStr">
        <is>
          <t>P2</t>
        </is>
      </c>
      <c r="C23" s="27" t="inlineStr">
        <is>
          <t>Order packer</t>
        </is>
      </c>
      <c r="D23" s="27" t="inlineStr">
        <is>
          <t>/marketing/coupons</t>
        </is>
      </c>
      <c r="E23" s="27" t="inlineStr">
        <is>
          <t>Order packer: Discounts, loyalty, pixels, reviews, campaigns</t>
        </is>
      </c>
      <c r="F23" s="27" t="inlineStr">
        <is>
          <t>Sign in as Order packer. Open /marketing/coupons and try to use the area.</t>
        </is>
      </c>
      <c r="G23" s="27" t="inlineStr">
        <is>
          <t>Cannot open: redirected to 'no access'; menu item hidden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  <row r="24">
      <c r="A24" s="21" t="inlineStr">
        <is>
          <t>ROL-21</t>
        </is>
      </c>
      <c r="B24" s="21" t="inlineStr">
        <is>
          <t>P1</t>
        </is>
      </c>
      <c r="C24" s="22" t="inlineStr">
        <is>
          <t>Order packer</t>
        </is>
      </c>
      <c r="D24" s="22" t="inlineStr">
        <is>
          <t>/reports</t>
        </is>
      </c>
      <c r="E24" s="22" t="inlineStr">
        <is>
          <t>Order packer: Reports, COD payouts, profit</t>
        </is>
      </c>
      <c r="F24" s="22" t="inlineStr">
        <is>
          <t>Sign in as Order packer. Open /reports and try to use the area.</t>
        </is>
      </c>
      <c r="G24" s="22" t="inlineStr">
        <is>
          <t>Cannot open: redirected to 'no access'; menu item hidden</t>
        </is>
      </c>
      <c r="H24" s="23" t="n"/>
      <c r="I24" s="23" t="n"/>
      <c r="J24" s="24">
        <f>IF(OR(H24="Fail",I24="Fail"),"Fail",IF(OR(H24="Blocked",I24="Blocked"),"Blocked",IF(AND(OR(H24="Pass",H24="N/A"),OR(I24="Pass",I24="N/A"),COUNTIF(H24:I24,"Pass")&gt;0),"Pass",IF(AND(H24="N/A",I24="N/A"),"N/A",IF(COUNTA(H24:I24)=0,"Not run","In progress")))))</f>
        <v/>
      </c>
      <c r="K24" s="25" t="n"/>
      <c r="L24" s="23" t="n"/>
      <c r="M24" s="25" t="n"/>
    </row>
    <row r="25">
      <c r="A25" s="26" t="inlineStr">
        <is>
          <t>ROL-22</t>
        </is>
      </c>
      <c r="B25" s="26" t="inlineStr">
        <is>
          <t>P2</t>
        </is>
      </c>
      <c r="C25" s="27" t="inlineStr">
        <is>
          <t>Order packer</t>
        </is>
      </c>
      <c r="D25" s="27" t="inlineStr">
        <is>
          <t>/design</t>
        </is>
      </c>
      <c r="E25" s="27" t="inlineStr">
        <is>
          <t>Order packer: Store design, landing pages, content, settings pages, support</t>
        </is>
      </c>
      <c r="F25" s="27" t="inlineStr">
        <is>
          <t>Sign in as Order packer. Open /design and try to use the area.</t>
        </is>
      </c>
      <c r="G25" s="27" t="inlineStr">
        <is>
          <t>Cannot open: redirected to 'no access'; menu item hidden</t>
        </is>
      </c>
      <c r="H25" s="23" t="n"/>
      <c r="I25" s="23" t="n"/>
      <c r="J25" s="28">
        <f>IF(OR(H25="Fail",I25="Fail"),"Fail",IF(OR(H25="Blocked",I25="Blocked"),"Blocked",IF(AND(OR(H25="Pass",H25="N/A"),OR(I25="Pass",I25="N/A"),COUNTIF(H25:I25,"Pass")&gt;0),"Pass",IF(AND(H25="N/A",I25="N/A"),"N/A",IF(COUNTA(H25:I25)=0,"Not run","In progress")))))</f>
        <v/>
      </c>
      <c r="K25" s="25" t="n"/>
      <c r="L25" s="23" t="n"/>
      <c r="M25" s="25" t="n"/>
    </row>
    <row r="26">
      <c r="A26" s="21" t="inlineStr">
        <is>
          <t>ROL-23</t>
        </is>
      </c>
      <c r="B26" s="21" t="inlineStr">
        <is>
          <t>P1</t>
        </is>
      </c>
      <c r="C26" s="22" t="inlineStr">
        <is>
          <t>Order packer</t>
        </is>
      </c>
      <c r="D26" s="22" t="inlineStr">
        <is>
          <t>/billing</t>
        </is>
      </c>
      <c r="E26" s="22" t="inlineStr">
        <is>
          <t>Order packer: Billing, integrations and apps</t>
        </is>
      </c>
      <c r="F26" s="22" t="inlineStr">
        <is>
          <t>Sign in as Order packer. Open /billing and try to use the area.</t>
        </is>
      </c>
      <c r="G26" s="22" t="inlineStr">
        <is>
          <t>Cannot open: redirected to 'no access'; menu item hidden</t>
        </is>
      </c>
      <c r="H26" s="23" t="n"/>
      <c r="I26" s="23" t="n"/>
      <c r="J26" s="24">
        <f>IF(OR(H26="Fail",I26="Fail"),"Fail",IF(OR(H26="Blocked",I26="Blocked"),"Blocked",IF(AND(OR(H26="Pass",H26="N/A"),OR(I26="Pass",I26="N/A"),COUNTIF(H26:I26,"Pass")&gt;0),"Pass",IF(AND(H26="N/A",I26="N/A"),"N/A",IF(COUNTA(H26:I26)=0,"Not run","In progress")))))</f>
        <v/>
      </c>
      <c r="K26" s="25" t="n"/>
      <c r="L26" s="23" t="n"/>
      <c r="M26" s="25" t="n"/>
    </row>
    <row r="27">
      <c r="A27" s="26" t="inlineStr">
        <is>
          <t>ROL-24</t>
        </is>
      </c>
      <c r="B27" s="26" t="inlineStr">
        <is>
          <t>P1</t>
        </is>
      </c>
      <c r="C27" s="27" t="inlineStr">
        <is>
          <t>Order packer</t>
        </is>
      </c>
      <c r="D27" s="27" t="inlineStr">
        <is>
          <t>/settings/staff</t>
        </is>
      </c>
      <c r="E27" s="27" t="inlineStr">
        <is>
          <t>Order packer: Team (staff, audit)</t>
        </is>
      </c>
      <c r="F27" s="27" t="inlineStr">
        <is>
          <t>Sign in as Order packer. Open /settings/staff and try to use the area.</t>
        </is>
      </c>
      <c r="G27" s="27" t="inlineStr">
        <is>
          <t>Cannot open: redirected to 'no access'; menu item hidden</t>
        </is>
      </c>
      <c r="H27" s="23" t="n"/>
      <c r="I27" s="23" t="n"/>
      <c r="J27" s="28">
        <f>IF(OR(H27="Fail",I27="Fail"),"Fail",IF(OR(H27="Blocked",I27="Blocked"),"Blocked",IF(AND(OR(H27="Pass",H27="N/A"),OR(I27="Pass",I27="N/A"),COUNTIF(H27:I27,"Pass")&gt;0),"Pass",IF(AND(H27="N/A",I27="N/A"),"N/A",IF(COUNTA(H27:I27)=0,"Not run","In progress")))))</f>
        <v/>
      </c>
      <c r="K27" s="25" t="n"/>
      <c r="L27" s="23" t="n"/>
      <c r="M27" s="25" t="n"/>
    </row>
    <row r="28">
      <c r="A28" s="21" t="inlineStr">
        <is>
          <t>ROL-25</t>
        </is>
      </c>
      <c r="B28" s="21" t="inlineStr">
        <is>
          <t>P2</t>
        </is>
      </c>
      <c r="C28" s="22" t="inlineStr">
        <is>
          <t>Support (telemarketer)</t>
        </is>
      </c>
      <c r="D28" s="22" t="inlineStr">
        <is>
          <t>/orders</t>
        </is>
      </c>
      <c r="E28" s="22" t="inlineStr">
        <is>
          <t>Support (telemarketer): Orders (list, detail, returns, abandoned, fraud)</t>
        </is>
      </c>
      <c r="F28" s="22" t="inlineStr">
        <is>
          <t>Sign in as Support (telemarketer). Open /orders and try to use the area.</t>
        </is>
      </c>
      <c r="G28" s="22" t="inlineStr">
        <is>
          <t>Can open and look only; no change buttons; actions refused</t>
        </is>
      </c>
      <c r="H28" s="23" t="n"/>
      <c r="I28" s="23" t="n"/>
      <c r="J28" s="24">
        <f>IF(OR(H28="Fail",I28="Fail"),"Fail",IF(OR(H28="Blocked",I28="Blocked"),"Blocked",IF(AND(OR(H28="Pass",H28="N/A"),OR(I28="Pass",I28="N/A"),COUNTIF(H28:I28,"Pass")&gt;0),"Pass",IF(AND(H28="N/A",I28="N/A"),"N/A",IF(COUNTA(H28:I28)=0,"Not run","In progress")))))</f>
        <v/>
      </c>
      <c r="K28" s="25" t="n"/>
      <c r="L28" s="23" t="n"/>
      <c r="M28" s="25" t="n"/>
    </row>
    <row r="29">
      <c r="A29" s="26" t="inlineStr">
        <is>
          <t>ROL-26</t>
        </is>
      </c>
      <c r="B29" s="26" t="inlineStr">
        <is>
          <t>P2</t>
        </is>
      </c>
      <c r="C29" s="27" t="inlineStr">
        <is>
          <t>Support (telemarketer)</t>
        </is>
      </c>
      <c r="D29" s="27" t="inlineStr">
        <is>
          <t>/products</t>
        </is>
      </c>
      <c r="E29" s="27" t="inlineStr">
        <is>
          <t>Support (telemarketer): Products, categories, inventory, POS</t>
        </is>
      </c>
      <c r="F29" s="27" t="inlineStr">
        <is>
          <t>Sign in as Support (telemarketer). Open /products and try to use the area.</t>
        </is>
      </c>
      <c r="G29" s="27" t="inlineStr">
        <is>
          <t>Can open and look only; no change buttons; actions refused</t>
        </is>
      </c>
      <c r="H29" s="23" t="n"/>
      <c r="I29" s="23" t="n"/>
      <c r="J29" s="28">
        <f>IF(OR(H29="Fail",I29="Fail"),"Fail",IF(OR(H29="Blocked",I29="Blocked"),"Blocked",IF(AND(OR(H29="Pass",H29="N/A"),OR(I29="Pass",I29="N/A"),COUNTIF(H29:I29,"Pass")&gt;0),"Pass",IF(AND(H29="N/A",I29="N/A"),"N/A",IF(COUNTA(H29:I29)=0,"Not run","In progress")))))</f>
        <v/>
      </c>
      <c r="K29" s="25" t="n"/>
      <c r="L29" s="23" t="n"/>
      <c r="M29" s="25" t="n"/>
    </row>
    <row r="30">
      <c r="A30" s="21" t="inlineStr">
        <is>
          <t>ROL-27</t>
        </is>
      </c>
      <c r="B30" s="21" t="inlineStr">
        <is>
          <t>P2</t>
        </is>
      </c>
      <c r="C30" s="22" t="inlineStr">
        <is>
          <t>Support (telemarketer)</t>
        </is>
      </c>
      <c r="D30" s="22" t="inlineStr">
        <is>
          <t>/customers</t>
        </is>
      </c>
      <c r="E30" s="22" t="inlineStr">
        <is>
          <t>Support (telemarketer): Customers and Inbox</t>
        </is>
      </c>
      <c r="F30" s="22" t="inlineStr">
        <is>
          <t>Sign in as Support (telemarketer). Open /customers and try to use the area.</t>
        </is>
      </c>
      <c r="G30" s="22" t="inlineStr">
        <is>
          <t>Can open and change</t>
        </is>
      </c>
      <c r="H30" s="23" t="n"/>
      <c r="I30" s="23" t="n"/>
      <c r="J30" s="24">
        <f>IF(OR(H30="Fail",I30="Fail"),"Fail",IF(OR(H30="Blocked",I30="Blocked"),"Blocked",IF(AND(OR(H30="Pass",H30="N/A"),OR(I30="Pass",I30="N/A"),COUNTIF(H30:I30,"Pass")&gt;0),"Pass",IF(AND(H30="N/A",I30="N/A"),"N/A",IF(COUNTA(H30:I30)=0,"Not run","In progress")))))</f>
        <v/>
      </c>
      <c r="K30" s="25" t="n"/>
      <c r="L30" s="23" t="n"/>
      <c r="M30" s="25" t="n"/>
    </row>
    <row r="31">
      <c r="A31" s="26" t="inlineStr">
        <is>
          <t>ROL-28</t>
        </is>
      </c>
      <c r="B31" s="26" t="inlineStr">
        <is>
          <t>P2</t>
        </is>
      </c>
      <c r="C31" s="27" t="inlineStr">
        <is>
          <t>Support (telemarketer)</t>
        </is>
      </c>
      <c r="D31" s="27" t="inlineStr">
        <is>
          <t>/marketing/coupons</t>
        </is>
      </c>
      <c r="E31" s="27" t="inlineStr">
        <is>
          <t>Support (telemarketer): Discounts, loyalty, pixels, reviews, campaigns</t>
        </is>
      </c>
      <c r="F31" s="27" t="inlineStr">
        <is>
          <t>Sign in as Support (telemarketer). Open /marketing/coupons and try to use the area.</t>
        </is>
      </c>
      <c r="G31" s="27" t="inlineStr">
        <is>
          <t>Cannot open: redirected to 'no access'; menu item hidden</t>
        </is>
      </c>
      <c r="H31" s="23" t="n"/>
      <c r="I31" s="23" t="n"/>
      <c r="J31" s="28">
        <f>IF(OR(H31="Fail",I31="Fail"),"Fail",IF(OR(H31="Blocked",I31="Blocked"),"Blocked",IF(AND(OR(H31="Pass",H31="N/A"),OR(I31="Pass",I31="N/A"),COUNTIF(H31:I31,"Pass")&gt;0),"Pass",IF(AND(H31="N/A",I31="N/A"),"N/A",IF(COUNTA(H31:I31)=0,"Not run","In progress")))))</f>
        <v/>
      </c>
      <c r="K31" s="25" t="n"/>
      <c r="L31" s="23" t="n"/>
      <c r="M31" s="25" t="n"/>
    </row>
    <row r="32">
      <c r="A32" s="21" t="inlineStr">
        <is>
          <t>ROL-29</t>
        </is>
      </c>
      <c r="B32" s="21" t="inlineStr">
        <is>
          <t>P1</t>
        </is>
      </c>
      <c r="C32" s="22" t="inlineStr">
        <is>
          <t>Support (telemarketer)</t>
        </is>
      </c>
      <c r="D32" s="22" t="inlineStr">
        <is>
          <t>/reports</t>
        </is>
      </c>
      <c r="E32" s="22" t="inlineStr">
        <is>
          <t>Support (telemarketer): Reports, COD payouts, profit</t>
        </is>
      </c>
      <c r="F32" s="22" t="inlineStr">
        <is>
          <t>Sign in as Support (telemarketer). Open /reports and try to use the area.</t>
        </is>
      </c>
      <c r="G32" s="22" t="inlineStr">
        <is>
          <t>Cannot open: redirected to 'no access'; menu item hidden</t>
        </is>
      </c>
      <c r="H32" s="23" t="n"/>
      <c r="I32" s="23" t="n"/>
      <c r="J32" s="24">
        <f>IF(OR(H32="Fail",I32="Fail"),"Fail",IF(OR(H32="Blocked",I32="Blocked"),"Blocked",IF(AND(OR(H32="Pass",H32="N/A"),OR(I32="Pass",I32="N/A"),COUNTIF(H32:I32,"Pass")&gt;0),"Pass",IF(AND(H32="N/A",I32="N/A"),"N/A",IF(COUNTA(H32:I32)=0,"Not run","In progress")))))</f>
        <v/>
      </c>
      <c r="K32" s="25" t="n"/>
      <c r="L32" s="23" t="n"/>
      <c r="M32" s="25" t="n"/>
    </row>
    <row r="33">
      <c r="A33" s="26" t="inlineStr">
        <is>
          <t>ROL-30</t>
        </is>
      </c>
      <c r="B33" s="26" t="inlineStr">
        <is>
          <t>P2</t>
        </is>
      </c>
      <c r="C33" s="27" t="inlineStr">
        <is>
          <t>Support (telemarketer)</t>
        </is>
      </c>
      <c r="D33" s="27" t="inlineStr">
        <is>
          <t>/design</t>
        </is>
      </c>
      <c r="E33" s="27" t="inlineStr">
        <is>
          <t>Support (telemarketer): Store design, landing pages, content, settings pages, support</t>
        </is>
      </c>
      <c r="F33" s="27" t="inlineStr">
        <is>
          <t>Sign in as Support (telemarketer). Open /design and try to use the area.</t>
        </is>
      </c>
      <c r="G33" s="27" t="inlineStr">
        <is>
          <t>Cannot open: redirected to 'no access'; menu item hidden</t>
        </is>
      </c>
      <c r="H33" s="23" t="n"/>
      <c r="I33" s="23" t="n"/>
      <c r="J33" s="28">
        <f>IF(OR(H33="Fail",I33="Fail"),"Fail",IF(OR(H33="Blocked",I33="Blocked"),"Blocked",IF(AND(OR(H33="Pass",H33="N/A"),OR(I33="Pass",I33="N/A"),COUNTIF(H33:I33,"Pass")&gt;0),"Pass",IF(AND(H33="N/A",I33="N/A"),"N/A",IF(COUNTA(H33:I33)=0,"Not run","In progress")))))</f>
        <v/>
      </c>
      <c r="K33" s="25" t="n"/>
      <c r="L33" s="23" t="n"/>
      <c r="M33" s="25" t="n"/>
    </row>
    <row r="34">
      <c r="A34" s="21" t="inlineStr">
        <is>
          <t>ROL-31</t>
        </is>
      </c>
      <c r="B34" s="21" t="inlineStr">
        <is>
          <t>P1</t>
        </is>
      </c>
      <c r="C34" s="22" t="inlineStr">
        <is>
          <t>Support (telemarketer)</t>
        </is>
      </c>
      <c r="D34" s="22" t="inlineStr">
        <is>
          <t>/billing</t>
        </is>
      </c>
      <c r="E34" s="22" t="inlineStr">
        <is>
          <t>Support (telemarketer): Billing, integrations and apps</t>
        </is>
      </c>
      <c r="F34" s="22" t="inlineStr">
        <is>
          <t>Sign in as Support (telemarketer). Open /billing and try to use the area.</t>
        </is>
      </c>
      <c r="G34" s="22" t="inlineStr">
        <is>
          <t>Cannot open: redirected to 'no access'; menu item hidden</t>
        </is>
      </c>
      <c r="H34" s="23" t="n"/>
      <c r="I34" s="23" t="n"/>
      <c r="J34" s="24">
        <f>IF(OR(H34="Fail",I34="Fail"),"Fail",IF(OR(H34="Blocked",I34="Blocked"),"Blocked",IF(AND(OR(H34="Pass",H34="N/A"),OR(I34="Pass",I34="N/A"),COUNTIF(H34:I34,"Pass")&gt;0),"Pass",IF(AND(H34="N/A",I34="N/A"),"N/A",IF(COUNTA(H34:I34)=0,"Not run","In progress")))))</f>
        <v/>
      </c>
      <c r="K34" s="25" t="n"/>
      <c r="L34" s="23" t="n"/>
      <c r="M34" s="25" t="n"/>
    </row>
    <row r="35">
      <c r="A35" s="26" t="inlineStr">
        <is>
          <t>ROL-32</t>
        </is>
      </c>
      <c r="B35" s="26" t="inlineStr">
        <is>
          <t>P1</t>
        </is>
      </c>
      <c r="C35" s="27" t="inlineStr">
        <is>
          <t>Support (telemarketer)</t>
        </is>
      </c>
      <c r="D35" s="27" t="inlineStr">
        <is>
          <t>/settings/staff</t>
        </is>
      </c>
      <c r="E35" s="27" t="inlineStr">
        <is>
          <t>Support (telemarketer): Team (staff, audit)</t>
        </is>
      </c>
      <c r="F35" s="27" t="inlineStr">
        <is>
          <t>Sign in as Support (telemarketer). Open /settings/staff and try to use the area.</t>
        </is>
      </c>
      <c r="G35" s="27" t="inlineStr">
        <is>
          <t>Cannot open: redirected to 'no access'; menu item hidden</t>
        </is>
      </c>
      <c r="H35" s="23" t="n"/>
      <c r="I35" s="23" t="n"/>
      <c r="J35" s="28">
        <f>IF(OR(H35="Fail",I35="Fail"),"Fail",IF(OR(H35="Blocked",I35="Blocked"),"Blocked",IF(AND(OR(H35="Pass",H35="N/A"),OR(I35="Pass",I35="N/A"),COUNTIF(H35:I35,"Pass")&gt;0),"Pass",IF(AND(H35="N/A",I35="N/A"),"N/A",IF(COUNTA(H35:I35)=0,"Not run","In progress")))))</f>
        <v/>
      </c>
      <c r="K35" s="25" t="n"/>
      <c r="L35" s="23" t="n"/>
      <c r="M35" s="25" t="n"/>
    </row>
    <row r="36">
      <c r="A36" s="21" t="inlineStr">
        <is>
          <t>ROL-33</t>
        </is>
      </c>
      <c r="B36" s="21" t="inlineStr">
        <is>
          <t>P2</t>
        </is>
      </c>
      <c r="C36" s="22" t="inlineStr">
        <is>
          <t>Content editor</t>
        </is>
      </c>
      <c r="D36" s="22" t="inlineStr">
        <is>
          <t>/orders</t>
        </is>
      </c>
      <c r="E36" s="22" t="inlineStr">
        <is>
          <t>Content editor: Orders (list, detail, returns, abandoned, fraud)</t>
        </is>
      </c>
      <c r="F36" s="22" t="inlineStr">
        <is>
          <t>Sign in as Content editor. Open /orders and try to use the area.</t>
        </is>
      </c>
      <c r="G36" s="22" t="inlineStr">
        <is>
          <t>Cannot open: redirected to 'no access'; menu item hidden</t>
        </is>
      </c>
      <c r="H36" s="23" t="n"/>
      <c r="I36" s="23" t="n"/>
      <c r="J36" s="24">
        <f>IF(OR(H36="Fail",I36="Fail"),"Fail",IF(OR(H36="Blocked",I36="Blocked"),"Blocked",IF(AND(OR(H36="Pass",H36="N/A"),OR(I36="Pass",I36="N/A"),COUNTIF(H36:I36,"Pass")&gt;0),"Pass",IF(AND(H36="N/A",I36="N/A"),"N/A",IF(COUNTA(H36:I36)=0,"Not run","In progress")))))</f>
        <v/>
      </c>
      <c r="K36" s="25" t="n"/>
      <c r="L36" s="23" t="n"/>
      <c r="M36" s="25" t="n"/>
    </row>
    <row r="37">
      <c r="A37" s="26" t="inlineStr">
        <is>
          <t>ROL-34</t>
        </is>
      </c>
      <c r="B37" s="26" t="inlineStr">
        <is>
          <t>P2</t>
        </is>
      </c>
      <c r="C37" s="27" t="inlineStr">
        <is>
          <t>Content editor</t>
        </is>
      </c>
      <c r="D37" s="27" t="inlineStr">
        <is>
          <t>/products</t>
        </is>
      </c>
      <c r="E37" s="27" t="inlineStr">
        <is>
          <t>Content editor: Products, categories, inventory, POS</t>
        </is>
      </c>
      <c r="F37" s="27" t="inlineStr">
        <is>
          <t>Sign in as Content editor. Open /products and try to use the area.</t>
        </is>
      </c>
      <c r="G37" s="27" t="inlineStr">
        <is>
          <t>Can open and change</t>
        </is>
      </c>
      <c r="H37" s="23" t="n"/>
      <c r="I37" s="23" t="n"/>
      <c r="J37" s="28">
        <f>IF(OR(H37="Fail",I37="Fail"),"Fail",IF(OR(H37="Blocked",I37="Blocked"),"Blocked",IF(AND(OR(H37="Pass",H37="N/A"),OR(I37="Pass",I37="N/A"),COUNTIF(H37:I37,"Pass")&gt;0),"Pass",IF(AND(H37="N/A",I37="N/A"),"N/A",IF(COUNTA(H37:I37)=0,"Not run","In progress")))))</f>
        <v/>
      </c>
      <c r="K37" s="25" t="n"/>
      <c r="L37" s="23" t="n"/>
      <c r="M37" s="25" t="n"/>
    </row>
    <row r="38">
      <c r="A38" s="21" t="inlineStr">
        <is>
          <t>ROL-35</t>
        </is>
      </c>
      <c r="B38" s="21" t="inlineStr">
        <is>
          <t>P2</t>
        </is>
      </c>
      <c r="C38" s="22" t="inlineStr">
        <is>
          <t>Content editor</t>
        </is>
      </c>
      <c r="D38" s="22" t="inlineStr">
        <is>
          <t>/customers</t>
        </is>
      </c>
      <c r="E38" s="22" t="inlineStr">
        <is>
          <t>Content editor: Customers and Inbox</t>
        </is>
      </c>
      <c r="F38" s="22" t="inlineStr">
        <is>
          <t>Sign in as Content editor. Open /customers and try to use the area.</t>
        </is>
      </c>
      <c r="G38" s="22" t="inlineStr">
        <is>
          <t>Cannot open: redirected to 'no access'; menu item hidden</t>
        </is>
      </c>
      <c r="H38" s="23" t="n"/>
      <c r="I38" s="23" t="n"/>
      <c r="J38" s="24">
        <f>IF(OR(H38="Fail",I38="Fail"),"Fail",IF(OR(H38="Blocked",I38="Blocked"),"Blocked",IF(AND(OR(H38="Pass",H38="N/A"),OR(I38="Pass",I38="N/A"),COUNTIF(H38:I38,"Pass")&gt;0),"Pass",IF(AND(H38="N/A",I38="N/A"),"N/A",IF(COUNTA(H38:I38)=0,"Not run","In progress")))))</f>
        <v/>
      </c>
      <c r="K38" s="25" t="n"/>
      <c r="L38" s="23" t="n"/>
      <c r="M38" s="25" t="n"/>
    </row>
    <row r="39">
      <c r="A39" s="26" t="inlineStr">
        <is>
          <t>ROL-36</t>
        </is>
      </c>
      <c r="B39" s="26" t="inlineStr">
        <is>
          <t>P2</t>
        </is>
      </c>
      <c r="C39" s="27" t="inlineStr">
        <is>
          <t>Content editor</t>
        </is>
      </c>
      <c r="D39" s="27" t="inlineStr">
        <is>
          <t>/marketing/coupons</t>
        </is>
      </c>
      <c r="E39" s="27" t="inlineStr">
        <is>
          <t>Content editor: Discounts, loyalty, pixels, reviews, campaigns</t>
        </is>
      </c>
      <c r="F39" s="27" t="inlineStr">
        <is>
          <t>Sign in as Content editor. Open /marketing/coupons and try to use the area.</t>
        </is>
      </c>
      <c r="G39" s="27" t="inlineStr">
        <is>
          <t>Cannot open: redirected to 'no access'; menu item hidden</t>
        </is>
      </c>
      <c r="H39" s="23" t="n"/>
      <c r="I39" s="23" t="n"/>
      <c r="J39" s="28">
        <f>IF(OR(H39="Fail",I39="Fail"),"Fail",IF(OR(H39="Blocked",I39="Blocked"),"Blocked",IF(AND(OR(H39="Pass",H39="N/A"),OR(I39="Pass",I39="N/A"),COUNTIF(H39:I39,"Pass")&gt;0),"Pass",IF(AND(H39="N/A",I39="N/A"),"N/A",IF(COUNTA(H39:I39)=0,"Not run","In progress")))))</f>
        <v/>
      </c>
      <c r="K39" s="25" t="n"/>
      <c r="L39" s="23" t="n"/>
      <c r="M39" s="25" t="n"/>
    </row>
    <row r="40">
      <c r="A40" s="21" t="inlineStr">
        <is>
          <t>ROL-37</t>
        </is>
      </c>
      <c r="B40" s="21" t="inlineStr">
        <is>
          <t>P1</t>
        </is>
      </c>
      <c r="C40" s="22" t="inlineStr">
        <is>
          <t>Content editor</t>
        </is>
      </c>
      <c r="D40" s="22" t="inlineStr">
        <is>
          <t>/reports</t>
        </is>
      </c>
      <c r="E40" s="22" t="inlineStr">
        <is>
          <t>Content editor: Reports, COD payouts, profit</t>
        </is>
      </c>
      <c r="F40" s="22" t="inlineStr">
        <is>
          <t>Sign in as Content editor. Open /reports and try to use the area.</t>
        </is>
      </c>
      <c r="G40" s="22" t="inlineStr">
        <is>
          <t>Cannot open: redirected to 'no access'; menu item hidden</t>
        </is>
      </c>
      <c r="H40" s="23" t="n"/>
      <c r="I40" s="23" t="n"/>
      <c r="J40" s="24">
        <f>IF(OR(H40="Fail",I40="Fail"),"Fail",IF(OR(H40="Blocked",I40="Blocked"),"Blocked",IF(AND(OR(H40="Pass",H40="N/A"),OR(I40="Pass",I40="N/A"),COUNTIF(H40:I40,"Pass")&gt;0),"Pass",IF(AND(H40="N/A",I40="N/A"),"N/A",IF(COUNTA(H40:I40)=0,"Not run","In progress")))))</f>
        <v/>
      </c>
      <c r="K40" s="25" t="n"/>
      <c r="L40" s="23" t="n"/>
      <c r="M40" s="25" t="n"/>
    </row>
    <row r="41">
      <c r="A41" s="26" t="inlineStr">
        <is>
          <t>ROL-38</t>
        </is>
      </c>
      <c r="B41" s="26" t="inlineStr">
        <is>
          <t>P2</t>
        </is>
      </c>
      <c r="C41" s="27" t="inlineStr">
        <is>
          <t>Content editor</t>
        </is>
      </c>
      <c r="D41" s="27" t="inlineStr">
        <is>
          <t>/design</t>
        </is>
      </c>
      <c r="E41" s="27" t="inlineStr">
        <is>
          <t>Content editor: Store design, landing pages, content, settings pages, support</t>
        </is>
      </c>
      <c r="F41" s="27" t="inlineStr">
        <is>
          <t>Sign in as Content editor. Open /design and try to use the area.</t>
        </is>
      </c>
      <c r="G41" s="27" t="inlineStr">
        <is>
          <t>Can open and change</t>
        </is>
      </c>
      <c r="H41" s="23" t="n"/>
      <c r="I41" s="23" t="n"/>
      <c r="J41" s="28">
        <f>IF(OR(H41="Fail",I41="Fail"),"Fail",IF(OR(H41="Blocked",I41="Blocked"),"Blocked",IF(AND(OR(H41="Pass",H41="N/A"),OR(I41="Pass",I41="N/A"),COUNTIF(H41:I41,"Pass")&gt;0),"Pass",IF(AND(H41="N/A",I41="N/A"),"N/A",IF(COUNTA(H41:I41)=0,"Not run","In progress")))))</f>
        <v/>
      </c>
      <c r="K41" s="25" t="n"/>
      <c r="L41" s="23" t="n"/>
      <c r="M41" s="25" t="n"/>
    </row>
    <row r="42">
      <c r="A42" s="21" t="inlineStr">
        <is>
          <t>ROL-39</t>
        </is>
      </c>
      <c r="B42" s="21" t="inlineStr">
        <is>
          <t>P1</t>
        </is>
      </c>
      <c r="C42" s="22" t="inlineStr">
        <is>
          <t>Content editor</t>
        </is>
      </c>
      <c r="D42" s="22" t="inlineStr">
        <is>
          <t>/billing</t>
        </is>
      </c>
      <c r="E42" s="22" t="inlineStr">
        <is>
          <t>Content editor: Billing, integrations and apps</t>
        </is>
      </c>
      <c r="F42" s="22" t="inlineStr">
        <is>
          <t>Sign in as Content editor. Open /billing and try to use the area.</t>
        </is>
      </c>
      <c r="G42" s="22" t="inlineStr">
        <is>
          <t>Cannot open: redirected to 'no access'; menu item hidden</t>
        </is>
      </c>
      <c r="H42" s="23" t="n"/>
      <c r="I42" s="23" t="n"/>
      <c r="J42" s="24">
        <f>IF(OR(H42="Fail",I42="Fail"),"Fail",IF(OR(H42="Blocked",I42="Blocked"),"Blocked",IF(AND(OR(H42="Pass",H42="N/A"),OR(I42="Pass",I42="N/A"),COUNTIF(H42:I42,"Pass")&gt;0),"Pass",IF(AND(H42="N/A",I42="N/A"),"N/A",IF(COUNTA(H42:I42)=0,"Not run","In progress")))))</f>
        <v/>
      </c>
      <c r="K42" s="25" t="n"/>
      <c r="L42" s="23" t="n"/>
      <c r="M42" s="25" t="n"/>
    </row>
    <row r="43">
      <c r="A43" s="26" t="inlineStr">
        <is>
          <t>ROL-40</t>
        </is>
      </c>
      <c r="B43" s="26" t="inlineStr">
        <is>
          <t>P1</t>
        </is>
      </c>
      <c r="C43" s="27" t="inlineStr">
        <is>
          <t>Content editor</t>
        </is>
      </c>
      <c r="D43" s="27" t="inlineStr">
        <is>
          <t>/settings/staff</t>
        </is>
      </c>
      <c r="E43" s="27" t="inlineStr">
        <is>
          <t>Content editor: Team (staff, audit)</t>
        </is>
      </c>
      <c r="F43" s="27" t="inlineStr">
        <is>
          <t>Sign in as Content editor. Open /settings/staff and try to use the area.</t>
        </is>
      </c>
      <c r="G43" s="27" t="inlineStr">
        <is>
          <t>Cannot open: redirected to 'no access'; menu item hidden</t>
        </is>
      </c>
      <c r="H43" s="23" t="n"/>
      <c r="I43" s="23" t="n"/>
      <c r="J43" s="28">
        <f>IF(OR(H43="Fail",I43="Fail"),"Fail",IF(OR(H43="Blocked",I43="Blocked"),"Blocked",IF(AND(OR(H43="Pass",H43="N/A"),OR(I43="Pass",I43="N/A"),COUNTIF(H43:I43,"Pass")&gt;0),"Pass",IF(AND(H43="N/A",I43="N/A"),"N/A",IF(COUNTA(H43:I43)=0,"Not run","In progress")))))</f>
        <v/>
      </c>
      <c r="K43" s="25" t="n"/>
      <c r="L43" s="23" t="n"/>
      <c r="M43" s="25" t="n"/>
    </row>
  </sheetData>
  <autoFilter ref="A3:M43"/>
  <conditionalFormatting sqref="J4:J43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43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43">
    <cfRule type="cellIs" priority="6" operator="equal" dxfId="6">
      <formula>"P1"</formula>
    </cfRule>
  </conditionalFormatting>
  <dataValidations count="1">
    <dataValidation sqref="H4:I43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Security and privacy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SCR-01</t>
        </is>
      </c>
      <c r="B4" s="21" t="inlineStr">
        <is>
          <t>P1</t>
        </is>
      </c>
      <c r="C4" s="22" t="inlineStr">
        <is>
          <t>Attacker</t>
        </is>
      </c>
      <c r="D4" s="22" t="inlineStr">
        <is>
          <t>All admin URLs</t>
        </is>
      </c>
      <c r="E4" s="22" t="inlineStr">
        <is>
          <t>Anonymous access refused</t>
        </is>
      </c>
      <c r="F4" s="22" t="inlineStr">
        <is>
          <t>Open every admin and platform URL without signing in.</t>
        </is>
      </c>
      <c r="G4" s="22" t="inlineStr">
        <is>
          <t>All redirect to sign-in; no data in the page source.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SCR-02</t>
        </is>
      </c>
      <c r="B5" s="26" t="inlineStr">
        <is>
          <t>P1</t>
        </is>
      </c>
      <c r="C5" s="27" t="inlineStr">
        <is>
          <t>Store A owner</t>
        </is>
      </c>
      <c r="D5" s="27" t="inlineStr">
        <is>
          <t>Cross-store</t>
        </is>
      </c>
      <c r="E5" s="27" t="inlineStr">
        <is>
          <t>One store cannot see another</t>
        </is>
      </c>
      <c r="F5" s="27" t="inlineStr">
        <is>
          <t>Copy an order/product/customer URL id from store A; open it while signed in to store B.</t>
        </is>
      </c>
      <c r="G5" s="27" t="inlineStr">
        <is>
          <t>404 / not found. Never the other store's data.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SCR-03</t>
        </is>
      </c>
      <c r="B6" s="21" t="inlineStr">
        <is>
          <t>P1</t>
        </is>
      </c>
      <c r="C6" s="22" t="inlineStr">
        <is>
          <t>Store A owner</t>
        </is>
      </c>
      <c r="D6" s="22" t="inlineStr">
        <is>
          <t>Cross-store</t>
        </is>
      </c>
      <c r="E6" s="22" t="inlineStr">
        <is>
          <t>Storefront isolation</t>
        </is>
      </c>
      <c r="F6" s="22" t="inlineStr">
        <is>
          <t>On store A's address, request store B's product slug / order id / draft code.</t>
        </is>
      </c>
      <c r="G6" s="22" t="inlineStr">
        <is>
          <t>Not found.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SCR-04</t>
        </is>
      </c>
      <c r="B7" s="26" t="inlineStr">
        <is>
          <t>P1</t>
        </is>
      </c>
      <c r="C7" s="27" t="inlineStr">
        <is>
          <t>Customer</t>
        </is>
      </c>
      <c r="D7" s="27" t="inlineStr">
        <is>
          <t>Order link</t>
        </is>
      </c>
      <c r="E7" s="27" t="inlineStr">
        <is>
          <t>Order page needs the link</t>
        </is>
      </c>
      <c r="F7" s="27" t="inlineStr">
        <is>
          <t>Open /order/&lt;id&gt; without ?k=.</t>
        </is>
      </c>
      <c r="G7" s="27" t="inlineStr">
        <is>
          <t>Not shown (404) unless signed in as that customer.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SCR-05</t>
        </is>
      </c>
      <c r="B8" s="21" t="inlineStr">
        <is>
          <t>P1</t>
        </is>
      </c>
      <c r="C8" s="22" t="inlineStr">
        <is>
          <t>Customer</t>
        </is>
      </c>
      <c r="D8" s="22" t="inlineStr">
        <is>
          <t>Draft link</t>
        </is>
      </c>
      <c r="E8" s="22" t="inlineStr">
        <is>
          <t>Draft codes cannot be guessed</t>
        </is>
      </c>
      <c r="F8" s="22" t="inlineStr">
        <is>
          <t>Try short, wrong and other-store codes.</t>
        </is>
      </c>
      <c r="G8" s="22" t="inlineStr">
        <is>
          <t>Always 'not valid'; no leak.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SCR-06</t>
        </is>
      </c>
      <c r="B9" s="26" t="inlineStr">
        <is>
          <t>P1</t>
        </is>
      </c>
      <c r="C9" s="27" t="inlineStr">
        <is>
          <t>Packer</t>
        </is>
      </c>
      <c r="D9" s="27" t="inlineStr">
        <is>
          <t>Server rules</t>
        </is>
      </c>
      <c r="E9" s="27" t="inlineStr">
        <is>
          <t>Hidden buttons are also blocked</t>
        </is>
      </c>
      <c r="F9" s="27" t="inlineStr">
        <is>
          <t>As packer, open a restricted URL directly and call a restricted action (e.g. via a saved form).</t>
        </is>
      </c>
      <c r="G9" s="27" t="inlineStr">
        <is>
          <t>Server refuses; nothing changes.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SCR-07</t>
        </is>
      </c>
      <c r="B10" s="21" t="inlineStr">
        <is>
          <t>P1</t>
        </is>
      </c>
      <c r="C10" s="22" t="inlineStr">
        <is>
          <t>Any</t>
        </is>
      </c>
      <c r="D10" s="22" t="inlineStr">
        <is>
          <t>Forms</t>
        </is>
      </c>
      <c r="E10" s="22" t="inlineStr">
        <is>
          <t>Cross-site request protection</t>
        </is>
      </c>
      <c r="F10" s="22" t="inlineStr">
        <is>
          <t>Submit a form from another website/origin (e.g. upload to /api/media).</t>
        </is>
      </c>
      <c r="G10" s="22" t="inlineStr">
        <is>
          <t>Refused.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SCR-08</t>
        </is>
      </c>
      <c r="B11" s="26" t="inlineStr">
        <is>
          <t>P1</t>
        </is>
      </c>
      <c r="C11" s="27" t="inlineStr">
        <is>
          <t>Any</t>
        </is>
      </c>
      <c r="D11" s="27" t="inlineStr">
        <is>
          <t>Inputs</t>
        </is>
      </c>
      <c r="E11" s="27" t="inlineStr">
        <is>
          <t>Script injection</t>
        </is>
      </c>
      <c r="F11" s="27" t="inlineStr">
        <is>
          <t>Put &lt;script&gt;alert(1)&lt;/script&gt; and "&gt;&lt;img src=x onerror=alert(1)&gt; in names, notes, addresses, product descriptions, contact message.</t>
        </is>
      </c>
      <c r="G11" s="27" t="inlineStr">
        <is>
          <t>Shown as text; nothing runs; descriptions sanitised.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SCR-09</t>
        </is>
      </c>
      <c r="B12" s="21" t="inlineStr">
        <is>
          <t>P1</t>
        </is>
      </c>
      <c r="C12" s="22" t="inlineStr">
        <is>
          <t>Any</t>
        </is>
      </c>
      <c r="D12" s="22" t="inlineStr">
        <is>
          <t>Inputs</t>
        </is>
      </c>
      <c r="E12" s="22" t="inlineStr">
        <is>
          <t>Spreadsheet formula injection</t>
        </is>
      </c>
      <c r="F12" s="22" t="inlineStr">
        <is>
          <t>Use =HYPERLINK(...) as a customer name; export orders and customers.</t>
        </is>
      </c>
      <c r="G12" s="22" t="inlineStr">
        <is>
          <t>Exported cell starts with an apostrophe; no formula runs.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SCR-10</t>
        </is>
      </c>
      <c r="B13" s="26" t="inlineStr">
        <is>
          <t>P1</t>
        </is>
      </c>
      <c r="C13" s="27" t="inlineStr">
        <is>
          <t>Any</t>
        </is>
      </c>
      <c r="D13" s="27" t="inlineStr">
        <is>
          <t>Uploads</t>
        </is>
      </c>
      <c r="E13" s="27" t="inlineStr">
        <is>
          <t>Upload rules</t>
        </is>
      </c>
      <c r="F13" s="27" t="inlineStr">
        <is>
          <t>Upload SVG, .exe renamed .jpg, huge photo, photo with GPS data.</t>
        </is>
      </c>
      <c r="G13" s="27" t="inlineStr">
        <is>
          <t>SVG/non-image refused; size limit; GPS stripped; stored as WebP.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SCR-11</t>
        </is>
      </c>
      <c r="B14" s="21" t="inlineStr">
        <is>
          <t>P1</t>
        </is>
      </c>
      <c r="C14" s="22" t="inlineStr">
        <is>
          <t>Any</t>
        </is>
      </c>
      <c r="D14" s="22" t="inlineStr">
        <is>
          <t>Secrets</t>
        </is>
      </c>
      <c r="E14" s="22" t="inlineStr">
        <is>
          <t>No secrets in pages or source</t>
        </is>
      </c>
      <c r="F14" s="22" t="inlineStr">
        <is>
          <t>View source and network responses on marketing, store, admin.</t>
        </is>
      </c>
      <c r="G14" s="22" t="inlineStr">
        <is>
          <t>No API keys, tokens, SMS keys, bank/bKash secrets visible. Integration keys never returned in full.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SCR-12</t>
        </is>
      </c>
      <c r="B15" s="26" t="inlineStr">
        <is>
          <t>P1</t>
        </is>
      </c>
      <c r="C15" s="27" t="inlineStr">
        <is>
          <t>Any</t>
        </is>
      </c>
      <c r="D15" s="27" t="inlineStr">
        <is>
          <t>Secrets</t>
        </is>
      </c>
      <c r="E15" s="27" t="inlineStr">
        <is>
          <t>Fraud checker key not exposed</t>
        </is>
      </c>
      <c r="F15" s="27" t="inlineStr">
        <is>
          <t>Search marketing page source and JS for 'fraud_'.</t>
        </is>
      </c>
      <c r="G15" s="27" t="inlineStr">
        <is>
          <t>Nothing found.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SCR-13</t>
        </is>
      </c>
      <c r="B16" s="21" t="inlineStr">
        <is>
          <t>P1</t>
        </is>
      </c>
      <c r="C16" s="22" t="inlineStr">
        <is>
          <t>Any</t>
        </is>
      </c>
      <c r="D16" s="22" t="inlineStr">
        <is>
          <t>Headers</t>
        </is>
      </c>
      <c r="E16" s="22" t="inlineStr">
        <is>
          <t>Security headers</t>
        </is>
      </c>
      <c r="F16" s="22" t="inlineStr">
        <is>
          <t>Check response headers.</t>
        </is>
      </c>
      <c r="G16" s="22" t="inlineStr">
        <is>
          <t>nosniff, referrer policy, permissions policy, frame blocking (admin), HSTS in production.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SCR-14</t>
        </is>
      </c>
      <c r="B17" s="26" t="inlineStr">
        <is>
          <t>P2</t>
        </is>
      </c>
      <c r="C17" s="27" t="inlineStr">
        <is>
          <t>Any</t>
        </is>
      </c>
      <c r="D17" s="27" t="inlineStr">
        <is>
          <t>Admin</t>
        </is>
      </c>
      <c r="E17" s="27" t="inlineStr">
        <is>
          <t>Admin cannot be framed</t>
        </is>
      </c>
      <c r="F17" s="27" t="inlineStr">
        <is>
          <t>Try embedding admin in an iframe on another site.</t>
        </is>
      </c>
      <c r="G17" s="27" t="inlineStr">
        <is>
          <t>Blocked.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SCR-15</t>
        </is>
      </c>
      <c r="B18" s="21" t="inlineStr">
        <is>
          <t>P1</t>
        </is>
      </c>
      <c r="C18" s="22" t="inlineStr">
        <is>
          <t>Any</t>
        </is>
      </c>
      <c r="D18" s="22" t="inlineStr">
        <is>
          <t>Rate limits</t>
        </is>
      </c>
      <c r="E18" s="22" t="inlineStr">
        <is>
          <t>Brute-force limits</t>
        </is>
      </c>
      <c r="F18" s="22" t="inlineStr">
        <is>
          <t>Wrong sign-in code and wrong password repeatedly.</t>
        </is>
      </c>
      <c r="G18" s="22" t="inlineStr">
        <is>
          <t>Locked/limited; no unlimited guessing.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SCR-16</t>
        </is>
      </c>
      <c r="B19" s="26" t="inlineStr">
        <is>
          <t>P1</t>
        </is>
      </c>
      <c r="C19" s="27" t="inlineStr">
        <is>
          <t>Platform support</t>
        </is>
      </c>
      <c r="D19" s="27" t="inlineStr">
        <is>
          <t>Impersonation</t>
        </is>
      </c>
      <c r="E19" s="27" t="inlineStr">
        <is>
          <t>Support access is safe</t>
        </is>
      </c>
      <c r="F19" s="27" t="inlineStr">
        <is>
          <t>Impersonate a store; try export, billing, secrets.</t>
        </is>
      </c>
      <c r="G19" s="27" t="inlineStr">
        <is>
          <t>Bulk export blocked; every start/end audited.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SCR-17</t>
        </is>
      </c>
      <c r="B20" s="21" t="inlineStr">
        <is>
          <t>P1</t>
        </is>
      </c>
      <c r="C20" s="22" t="inlineStr">
        <is>
          <t>Owner</t>
        </is>
      </c>
      <c r="D20" s="22" t="inlineStr">
        <is>
          <t>Privacy</t>
        </is>
      </c>
      <c r="E20" s="22" t="inlineStr">
        <is>
          <t>Customer data minimal</t>
        </is>
      </c>
      <c r="F20" s="22" t="inlineStr">
        <is>
          <t>Export customers; check what leaves.</t>
        </is>
      </c>
      <c r="G20" s="22" t="inlineStr">
        <is>
          <t>Only name, phone, email, orders, spent, tags, joined.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SCR-18</t>
        </is>
      </c>
      <c r="B21" s="26" t="inlineStr">
        <is>
          <t>P1</t>
        </is>
      </c>
      <c r="C21" s="27" t="inlineStr">
        <is>
          <t>Customer</t>
        </is>
      </c>
      <c r="D21" s="27" t="inlineStr">
        <is>
          <t>Privacy</t>
        </is>
      </c>
      <c r="E21" s="27" t="inlineStr">
        <is>
          <t>SMS consent</t>
        </is>
      </c>
      <c r="F21" s="27" t="inlineStr">
        <is>
          <t>Import customers; send marketing SMS.</t>
        </is>
      </c>
      <c r="G21" s="27" t="inlineStr">
        <is>
          <t>Imported customers are not messaged until they consent; opted-out never messaged.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SCR-19</t>
        </is>
      </c>
      <c r="B22" s="21" t="inlineStr">
        <is>
          <t>P2</t>
        </is>
      </c>
      <c r="C22" s="22" t="inlineStr">
        <is>
          <t>Any</t>
        </is>
      </c>
      <c r="D22" s="22" t="inlineStr">
        <is>
          <t>Logs</t>
        </is>
      </c>
      <c r="E22" s="22" t="inlineStr">
        <is>
          <t>No personal data in logs</t>
        </is>
      </c>
      <c r="F22" s="22" t="inlineStr">
        <is>
          <t>Ask dev to review production logs for a day.</t>
        </is>
      </c>
      <c r="G22" s="22" t="inlineStr">
        <is>
          <t>No phone numbers, tokens, passwords.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SCR-20</t>
        </is>
      </c>
      <c r="B23" s="26" t="inlineStr">
        <is>
          <t>P1</t>
        </is>
      </c>
      <c r="C23" s="27" t="inlineStr">
        <is>
          <t>Platform owner</t>
        </is>
      </c>
      <c r="D23" s="27" t="inlineStr">
        <is>
          <t>Database</t>
        </is>
      </c>
      <c r="E23" s="27" t="inlineStr">
        <is>
          <t>Row-level security</t>
        </is>
      </c>
      <c r="F23" s="27" t="inlineStr">
        <is>
          <t>Dev runs the isolation sweep (pnpm test in packages/db) after every migration.</t>
        </is>
      </c>
      <c r="G23" s="27" t="inlineStr">
        <is>
          <t>All tests pass; every tenant table has policies.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  <row r="24">
      <c r="A24" s="21" t="inlineStr">
        <is>
          <t>SCR-21</t>
        </is>
      </c>
      <c r="B24" s="21" t="inlineStr">
        <is>
          <t>P2</t>
        </is>
      </c>
      <c r="C24" s="22" t="inlineStr">
        <is>
          <t>Platform owner</t>
        </is>
      </c>
      <c r="D24" s="22" t="inlineStr">
        <is>
          <t>Backups</t>
        </is>
      </c>
      <c r="E24" s="22" t="inlineStr">
        <is>
          <t>Restore drill</t>
        </is>
      </c>
      <c r="F24" s="22" t="inlineStr">
        <is>
          <t>Run the backup restore drill.</t>
        </is>
      </c>
      <c r="G24" s="22" t="inlineStr">
        <is>
          <t>Decrypts, restores, counts match; tamper test fails as expected.</t>
        </is>
      </c>
      <c r="H24" s="23" t="n"/>
      <c r="I24" s="23" t="n"/>
      <c r="J24" s="24">
        <f>IF(OR(H24="Fail",I24="Fail"),"Fail",IF(OR(H24="Blocked",I24="Blocked"),"Blocked",IF(AND(OR(H24="Pass",H24="N/A"),OR(I24="Pass",I24="N/A"),COUNTIF(H24:I24,"Pass")&gt;0),"Pass",IF(AND(H24="N/A",I24="N/A"),"N/A",IF(COUNTA(H24:I24)=0,"Not run","In progress")))))</f>
        <v/>
      </c>
      <c r="K24" s="25" t="n"/>
      <c r="L24" s="23" t="n"/>
      <c r="M24" s="25" t="n"/>
    </row>
  </sheetData>
  <autoFilter ref="A3:M24"/>
  <conditionalFormatting sqref="J4:J24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24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24">
    <cfRule type="cellIs" priority="6" operator="equal" dxfId="6">
      <formula>"P1"</formula>
    </cfRule>
  </conditionalFormatting>
  <dataValidations count="1">
    <dataValidation sqref="H4:I24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Quality: responsive, accessibility, speed, language, browsers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QLT-01</t>
        </is>
      </c>
      <c r="B4" s="21" t="inlineStr">
        <is>
          <t>P1</t>
        </is>
      </c>
      <c r="C4" s="22" t="inlineStr">
        <is>
          <t>Any</t>
        </is>
      </c>
      <c r="D4" s="22" t="inlineStr">
        <is>
          <t>All apps</t>
        </is>
      </c>
      <c r="E4" s="22" t="inlineStr">
        <is>
          <t>No console errors</t>
        </is>
      </c>
      <c r="F4" s="22" t="inlineStr">
        <is>
          <t>Open DevTools on main pages of each app.</t>
        </is>
      </c>
      <c r="G4" s="22" t="inlineStr">
        <is>
          <t>No red errors on load or on key actions.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QLT-02</t>
        </is>
      </c>
      <c r="B5" s="26" t="inlineStr">
        <is>
          <t>P1</t>
        </is>
      </c>
      <c r="C5" s="27" t="inlineStr">
        <is>
          <t>Any</t>
        </is>
      </c>
      <c r="D5" s="27" t="inlineStr">
        <is>
          <t>All apps</t>
        </is>
      </c>
      <c r="E5" s="27" t="inlineStr">
        <is>
          <t>No 500 pages</t>
        </is>
      </c>
      <c r="F5" s="27" t="inlineStr">
        <is>
          <t>Visit every menu item of admin, platform, storefront, marketing.</t>
        </is>
      </c>
      <c r="G5" s="27" t="inlineStr">
        <is>
          <t>None shows 'This page couldn't load'.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QLT-03</t>
        </is>
      </c>
      <c r="B6" s="21" t="inlineStr">
        <is>
          <t>P1</t>
        </is>
      </c>
      <c r="C6" s="22" t="inlineStr">
        <is>
          <t>Any</t>
        </is>
      </c>
      <c r="D6" s="22" t="inlineStr">
        <is>
          <t>Phone 390px</t>
        </is>
      </c>
      <c r="E6" s="22" t="inlineStr">
        <is>
          <t>No sideways scroll</t>
        </is>
      </c>
      <c r="F6" s="22" t="inlineStr">
        <is>
          <t>Open every main page at 390px.</t>
        </is>
      </c>
      <c r="G6" s="22" t="inlineStr">
        <is>
          <t>Page never scrolls sideways (tables scroll inside their box).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QLT-04</t>
        </is>
      </c>
      <c r="B7" s="26" t="inlineStr">
        <is>
          <t>P1</t>
        </is>
      </c>
      <c r="C7" s="27" t="inlineStr">
        <is>
          <t>Any</t>
        </is>
      </c>
      <c r="D7" s="27" t="inlineStr">
        <is>
          <t>Phone 390px</t>
        </is>
      </c>
      <c r="E7" s="27" t="inlineStr">
        <is>
          <t>Touch targets</t>
        </is>
      </c>
      <c r="F7" s="27" t="inlineStr">
        <is>
          <t>Tap every button and link on phone.</t>
        </is>
      </c>
      <c r="G7" s="27" t="inlineStr">
        <is>
          <t>At least 40px high in admin, 44px on storefront; no mis-taps.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QLT-05</t>
        </is>
      </c>
      <c r="B8" s="21" t="inlineStr">
        <is>
          <t>P1</t>
        </is>
      </c>
      <c r="C8" s="22" t="inlineStr">
        <is>
          <t>Any</t>
        </is>
      </c>
      <c r="D8" s="22" t="inlineStr">
        <is>
          <t>Phone</t>
        </is>
      </c>
      <c r="E8" s="22" t="inlineStr">
        <is>
          <t>Slow network</t>
        </is>
      </c>
      <c r="F8" s="22" t="inlineStr">
        <is>
          <t>Throttle to slow 4G.</t>
        </is>
      </c>
      <c r="G8" s="22" t="inlineStr">
        <is>
          <t>Store home and product load under about 2.5 s to main content; checkout usable.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QLT-06</t>
        </is>
      </c>
      <c r="B9" s="26" t="inlineStr">
        <is>
          <t>P2</t>
        </is>
      </c>
      <c r="C9" s="27" t="inlineStr">
        <is>
          <t>Any</t>
        </is>
      </c>
      <c r="D9" s="27" t="inlineStr">
        <is>
          <t>Accessibility</t>
        </is>
      </c>
      <c r="E9" s="27" t="inlineStr">
        <is>
          <t>Keyboard use</t>
        </is>
      </c>
      <c r="F9" s="27" t="inlineStr">
        <is>
          <t>Tab through checkout and admin order page.</t>
        </is>
      </c>
      <c r="G9" s="27" t="inlineStr">
        <is>
          <t>Logical order, visible focus, forms operable; no trap.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QLT-07</t>
        </is>
      </c>
      <c r="B10" s="21" t="inlineStr">
        <is>
          <t>P2</t>
        </is>
      </c>
      <c r="C10" s="22" t="inlineStr">
        <is>
          <t>Any</t>
        </is>
      </c>
      <c r="D10" s="22" t="inlineStr">
        <is>
          <t>Accessibility</t>
        </is>
      </c>
      <c r="E10" s="22" t="inlineStr">
        <is>
          <t>Screen reader names</t>
        </is>
      </c>
      <c r="F10" s="22" t="inlineStr">
        <is>
          <t>Check buttons/inputs with a screen reader or inspector.</t>
        </is>
      </c>
      <c r="G10" s="22" t="inlineStr">
        <is>
          <t>Every input has a label; icon buttons have names.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QLT-08</t>
        </is>
      </c>
      <c r="B11" s="26" t="inlineStr">
        <is>
          <t>P2</t>
        </is>
      </c>
      <c r="C11" s="27" t="inlineStr">
        <is>
          <t>Any</t>
        </is>
      </c>
      <c r="D11" s="27" t="inlineStr">
        <is>
          <t>Accessibility</t>
        </is>
      </c>
      <c r="E11" s="27" t="inlineStr">
        <is>
          <t>Colour contrast</t>
        </is>
      </c>
      <c r="F11" s="27" t="inlineStr">
        <is>
          <t>Check light and dark mode.</t>
        </is>
      </c>
      <c r="G11" s="27" t="inlineStr">
        <is>
          <t>Text meets 4.5:1 (axe has no serious issues).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QLT-09</t>
        </is>
      </c>
      <c r="B12" s="21" t="inlineStr">
        <is>
          <t>P2</t>
        </is>
      </c>
      <c r="C12" s="22" t="inlineStr">
        <is>
          <t>Any</t>
        </is>
      </c>
      <c r="D12" s="22" t="inlineStr">
        <is>
          <t>Zoom</t>
        </is>
      </c>
      <c r="E12" s="22" t="inlineStr">
        <is>
          <t>200% zoom and large text</t>
        </is>
      </c>
      <c r="F12" s="22" t="inlineStr">
        <is>
          <t>Zoom and enlarge system text.</t>
        </is>
      </c>
      <c r="G12" s="22" t="inlineStr">
        <is>
          <t>Nothing cut off.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QLT-10</t>
        </is>
      </c>
      <c r="B13" s="26" t="inlineStr">
        <is>
          <t>P1</t>
        </is>
      </c>
      <c r="C13" s="27" t="inlineStr">
        <is>
          <t>Any</t>
        </is>
      </c>
      <c r="D13" s="27" t="inlineStr">
        <is>
          <t>Language</t>
        </is>
      </c>
      <c r="E13" s="27" t="inlineStr">
        <is>
          <t>Bangla text</t>
        </is>
      </c>
      <c r="F13" s="27" t="inlineStr">
        <is>
          <t>Switch to Bangla across store and admin messages.</t>
        </is>
      </c>
      <c r="G13" s="27" t="inlineStr">
        <is>
          <t>No broken characters; digits and ৳ right; long Bangla text does not break layout.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QLT-11</t>
        </is>
      </c>
      <c r="B14" s="21" t="inlineStr">
        <is>
          <t>P2</t>
        </is>
      </c>
      <c r="C14" s="22" t="inlineStr">
        <is>
          <t>Any</t>
        </is>
      </c>
      <c r="D14" s="22" t="inlineStr">
        <is>
          <t>Language</t>
        </is>
      </c>
      <c r="E14" s="22" t="inlineStr">
        <is>
          <t>Dates and time</t>
        </is>
      </c>
      <c r="F14" s="22" t="inlineStr">
        <is>
          <t>Check order times near midnight.</t>
        </is>
      </c>
      <c r="G14" s="22" t="inlineStr">
        <is>
          <t>Dhaka time (UTC+6) used everywhere.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QLT-12</t>
        </is>
      </c>
      <c r="B15" s="26" t="inlineStr">
        <is>
          <t>P2</t>
        </is>
      </c>
      <c r="C15" s="27" t="inlineStr">
        <is>
          <t>Any</t>
        </is>
      </c>
      <c r="D15" s="27" t="inlineStr">
        <is>
          <t>Money</t>
        </is>
      </c>
      <c r="E15" s="27" t="inlineStr">
        <is>
          <t>Currency formatting</t>
        </is>
      </c>
      <c r="F15" s="27" t="inlineStr">
        <is>
          <t>Check large amounts (৳ 1,25,000).</t>
        </is>
      </c>
      <c r="G15" s="27" t="inlineStr">
        <is>
          <t>Formatting consistent; no rounding errors on totals.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QLT-13</t>
        </is>
      </c>
      <c r="B16" s="21" t="inlineStr">
        <is>
          <t>P1</t>
        </is>
      </c>
      <c r="C16" s="22" t="inlineStr">
        <is>
          <t>Any</t>
        </is>
      </c>
      <c r="D16" s="22" t="inlineStr">
        <is>
          <t>Browsers</t>
        </is>
      </c>
      <c r="E16" s="22" t="inlineStr">
        <is>
          <t>Chrome, Safari, Firefox, Edge</t>
        </is>
      </c>
      <c r="F16" s="22" t="inlineStr">
        <is>
          <t>Run the Smoke sheet on each.</t>
        </is>
      </c>
      <c r="G16" s="22" t="inlineStr">
        <is>
          <t>Same results.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QLT-14</t>
        </is>
      </c>
      <c r="B17" s="26" t="inlineStr">
        <is>
          <t>P2</t>
        </is>
      </c>
      <c r="C17" s="27" t="inlineStr">
        <is>
          <t>Any</t>
        </is>
      </c>
      <c r="D17" s="27" t="inlineStr">
        <is>
          <t>Devices</t>
        </is>
      </c>
      <c r="E17" s="27" t="inlineStr">
        <is>
          <t>iPhone Safari and low-end Android</t>
        </is>
      </c>
      <c r="F17" s="27" t="inlineStr">
        <is>
          <t>Run checkout and admin order flow.</t>
        </is>
      </c>
      <c r="G17" s="27" t="inlineStr">
        <is>
          <t>Works; no stuck keyboards, no zoom-on-focus.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QLT-15</t>
        </is>
      </c>
      <c r="B18" s="21" t="inlineStr">
        <is>
          <t>P2</t>
        </is>
      </c>
      <c r="C18" s="22" t="inlineStr">
        <is>
          <t>Any</t>
        </is>
      </c>
      <c r="D18" s="22" t="inlineStr">
        <is>
          <t>Errors</t>
        </is>
      </c>
      <c r="E18" s="22" t="inlineStr">
        <is>
          <t>Friendly errors</t>
        </is>
      </c>
      <c r="F18" s="22" t="inlineStr">
        <is>
          <t>Cause errors: network off during Place order, expired session.</t>
        </is>
      </c>
      <c r="G18" s="22" t="inlineStr">
        <is>
          <t>Plain message; no data loss; no double order.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QLT-16</t>
        </is>
      </c>
      <c r="B19" s="26" t="inlineStr">
        <is>
          <t>P2</t>
        </is>
      </c>
      <c r="C19" s="27" t="inlineStr">
        <is>
          <t>Any</t>
        </is>
      </c>
      <c r="D19" s="27" t="inlineStr">
        <is>
          <t>Errors</t>
        </is>
      </c>
      <c r="E19" s="27" t="inlineStr">
        <is>
          <t>Empty states</t>
        </is>
      </c>
      <c r="F19" s="27" t="inlineStr">
        <is>
          <t>Look at pages with no data.</t>
        </is>
      </c>
      <c r="G19" s="27" t="inlineStr">
        <is>
          <t>Clear empty message with next step.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QLT-17</t>
        </is>
      </c>
      <c r="B20" s="21" t="inlineStr">
        <is>
          <t>P3</t>
        </is>
      </c>
      <c r="C20" s="22" t="inlineStr">
        <is>
          <t>Any</t>
        </is>
      </c>
      <c r="D20" s="22" t="inlineStr">
        <is>
          <t>Dark mode</t>
        </is>
      </c>
      <c r="E20" s="22" t="inlineStr">
        <is>
          <t>Dark mode visual check</t>
        </is>
      </c>
      <c r="F20" s="22" t="inlineStr">
        <is>
          <t>Walk the admin in dark.</t>
        </is>
      </c>
      <c r="G20" s="22" t="inlineStr">
        <is>
          <t>No unreadable text, no white flashes.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  <row r="21">
      <c r="A21" s="26" t="inlineStr">
        <is>
          <t>QLT-18</t>
        </is>
      </c>
      <c r="B21" s="26" t="inlineStr">
        <is>
          <t>P2</t>
        </is>
      </c>
      <c r="C21" s="27" t="inlineStr">
        <is>
          <t>Any</t>
        </is>
      </c>
      <c r="D21" s="27" t="inlineStr">
        <is>
          <t>Performance</t>
        </is>
      </c>
      <c r="E21" s="27" t="inlineStr">
        <is>
          <t>Large data</t>
        </is>
      </c>
      <c r="F21" s="27" t="inlineStr">
        <is>
          <t>Test with 5,000 orders/products if possible.</t>
        </is>
      </c>
      <c r="G21" s="27" t="inlineStr">
        <is>
          <t>Lists page quickly; search stays fast.</t>
        </is>
      </c>
      <c r="H21" s="23" t="n"/>
      <c r="I21" s="23" t="n"/>
      <c r="J21" s="28">
        <f>IF(OR(H21="Fail",I21="Fail"),"Fail",IF(OR(H21="Blocked",I21="Blocked"),"Blocked",IF(AND(OR(H21="Pass",H21="N/A"),OR(I21="Pass",I21="N/A"),COUNTIF(H21:I21,"Pass")&gt;0),"Pass",IF(AND(H21="N/A",I21="N/A"),"N/A",IF(COUNTA(H21:I21)=0,"Not run","In progress")))))</f>
        <v/>
      </c>
      <c r="K21" s="25" t="n"/>
      <c r="L21" s="23" t="n"/>
      <c r="M21" s="25" t="n"/>
    </row>
    <row r="22">
      <c r="A22" s="21" t="inlineStr">
        <is>
          <t>QLT-19</t>
        </is>
      </c>
      <c r="B22" s="21" t="inlineStr">
        <is>
          <t>P2</t>
        </is>
      </c>
      <c r="C22" s="22" t="inlineStr">
        <is>
          <t>Any</t>
        </is>
      </c>
      <c r="D22" s="22" t="inlineStr">
        <is>
          <t>Concurrency</t>
        </is>
      </c>
      <c r="E22" s="22" t="inlineStr">
        <is>
          <t>Two staff, one order</t>
        </is>
      </c>
      <c r="F22" s="22" t="inlineStr">
        <is>
          <t>Two people edit the same order at once.</t>
        </is>
      </c>
      <c r="G22" s="22" t="inlineStr">
        <is>
          <t>No corruption; later action sees the new state.</t>
        </is>
      </c>
      <c r="H22" s="23" t="n"/>
      <c r="I22" s="23" t="n"/>
      <c r="J22" s="24">
        <f>IF(OR(H22="Fail",I22="Fail"),"Fail",IF(OR(H22="Blocked",I22="Blocked"),"Blocked",IF(AND(OR(H22="Pass",H22="N/A"),OR(I22="Pass",I22="N/A"),COUNTIF(H22:I22,"Pass")&gt;0),"Pass",IF(AND(H22="N/A",I22="N/A"),"N/A",IF(COUNTA(H22:I22)=0,"Not run","In progress")))))</f>
        <v/>
      </c>
      <c r="K22" s="25" t="n"/>
      <c r="L22" s="23" t="n"/>
      <c r="M22" s="25" t="n"/>
    </row>
    <row r="23">
      <c r="A23" s="26" t="inlineStr">
        <is>
          <t>QLT-20</t>
        </is>
      </c>
      <c r="B23" s="26" t="inlineStr">
        <is>
          <t>P2</t>
        </is>
      </c>
      <c r="C23" s="27" t="inlineStr">
        <is>
          <t>Any</t>
        </is>
      </c>
      <c r="D23" s="27" t="inlineStr">
        <is>
          <t>Sessions</t>
        </is>
      </c>
      <c r="E23" s="27" t="inlineStr">
        <is>
          <t>Long idle</t>
        </is>
      </c>
      <c r="F23" s="27" t="inlineStr">
        <is>
          <t>Leave admin open overnight; act.</t>
        </is>
      </c>
      <c r="G23" s="27" t="inlineStr">
        <is>
          <t>Asked to sign in again; no blank error.</t>
        </is>
      </c>
      <c r="H23" s="23" t="n"/>
      <c r="I23" s="23" t="n"/>
      <c r="J23" s="28">
        <f>IF(OR(H23="Fail",I23="Fail"),"Fail",IF(OR(H23="Blocked",I23="Blocked"),"Blocked",IF(AND(OR(H23="Pass",H23="N/A"),OR(I23="Pass",I23="N/A"),COUNTIF(H23:I23,"Pass")&gt;0),"Pass",IF(AND(H23="N/A",I23="N/A"),"N/A",IF(COUNTA(H23:I23)=0,"Not run","In progress")))))</f>
        <v/>
      </c>
      <c r="K23" s="25" t="n"/>
      <c r="L23" s="23" t="n"/>
      <c r="M23" s="25" t="n"/>
    </row>
  </sheetData>
  <autoFilter ref="A3:M23"/>
  <conditionalFormatting sqref="J4:J23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23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23">
    <cfRule type="cellIs" priority="6" operator="equal" dxfId="6">
      <formula>"P1"</formula>
    </cfRule>
  </conditionalFormatting>
  <dataValidations count="1">
    <dataValidation sqref="H4:I23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Integrations, cron jobs and operations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INT-01</t>
        </is>
      </c>
      <c r="B4" s="21" t="inlineStr">
        <is>
          <t>P1</t>
        </is>
      </c>
      <c r="C4" s="22" t="inlineStr">
        <is>
          <t>QA</t>
        </is>
      </c>
      <c r="D4" s="22" t="inlineStr">
        <is>
          <t>Steadfast</t>
        </is>
      </c>
      <c r="E4" s="22" t="inlineStr">
        <is>
          <t>Book, track, webhook</t>
        </is>
      </c>
      <c r="F4" s="22" t="inlineStr">
        <is>
          <t>Book a parcel; let status change; check webhook/sync.</t>
        </is>
      </c>
      <c r="G4" s="22" t="inlineStr">
        <is>
          <t>Consignment saved; status mirrors; delivered/returned reflected.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INT-02</t>
        </is>
      </c>
      <c r="B5" s="26" t="inlineStr">
        <is>
          <t>P1</t>
        </is>
      </c>
      <c r="C5" s="27" t="inlineStr">
        <is>
          <t>QA</t>
        </is>
      </c>
      <c r="D5" s="27" t="inlineStr">
        <is>
          <t>Pathao</t>
        </is>
      </c>
      <c r="E5" s="27" t="inlineStr">
        <is>
          <t>Book, track</t>
        </is>
      </c>
      <c r="F5" s="27" t="inlineStr">
        <is>
          <t>Same with Pathao (token refresh).</t>
        </is>
      </c>
      <c r="G5" s="27" t="inlineStr">
        <is>
          <t>Works; token errors shown plainly.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INT-03</t>
        </is>
      </c>
      <c r="B6" s="21" t="inlineStr">
        <is>
          <t>P1</t>
        </is>
      </c>
      <c r="C6" s="22" t="inlineStr">
        <is>
          <t>QA</t>
        </is>
      </c>
      <c r="D6" s="22" t="inlineStr">
        <is>
          <t>RedX</t>
        </is>
      </c>
      <c r="E6" s="22" t="inlineStr">
        <is>
          <t>Book, track</t>
        </is>
      </c>
      <c r="F6" s="22" t="inlineStr">
        <is>
          <t>Same with RedX.</t>
        </is>
      </c>
      <c r="G6" s="22" t="inlineStr">
        <is>
          <t>Works.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INT-04</t>
        </is>
      </c>
      <c r="B7" s="26" t="inlineStr">
        <is>
          <t>P2</t>
        </is>
      </c>
      <c r="C7" s="27" t="inlineStr">
        <is>
          <t>QA</t>
        </is>
      </c>
      <c r="D7" s="27" t="inlineStr">
        <is>
          <t>Couriers</t>
        </is>
      </c>
      <c r="E7" s="27" t="inlineStr">
        <is>
          <t>Wrong keys</t>
        </is>
      </c>
      <c r="F7" s="27" t="inlineStr">
        <is>
          <t>Save a wrong key; try to book.</t>
        </is>
      </c>
      <c r="G7" s="27" t="inlineStr">
        <is>
          <t>Plain error ('Add courier keys' / refused); nothing half-booked.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INT-05</t>
        </is>
      </c>
      <c r="B8" s="21" t="inlineStr">
        <is>
          <t>P1</t>
        </is>
      </c>
      <c r="C8" s="22" t="inlineStr">
        <is>
          <t>QA</t>
        </is>
      </c>
      <c r="D8" s="22" t="inlineStr">
        <is>
          <t>SMS</t>
        </is>
      </c>
      <c r="E8" s="22" t="inlineStr">
        <is>
          <t>Provider sends</t>
        </is>
      </c>
      <c r="F8" s="22" t="inlineStr">
        <is>
          <t>Send each SMS type (order, OTP, recovery, back in stock, reply).</t>
        </is>
      </c>
      <c r="G8" s="22" t="inlineStr">
        <is>
          <t>Delivered to a real phone; Bangla (unicode) parts counted right.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INT-06</t>
        </is>
      </c>
      <c r="B9" s="26" t="inlineStr">
        <is>
          <t>P2</t>
        </is>
      </c>
      <c r="C9" s="27" t="inlineStr">
        <is>
          <t>QA</t>
        </is>
      </c>
      <c r="D9" s="27" t="inlineStr">
        <is>
          <t>SMS</t>
        </is>
      </c>
      <c r="E9" s="27" t="inlineStr">
        <is>
          <t>No credit / provider down</t>
        </is>
      </c>
      <c r="F9" s="27" t="inlineStr">
        <is>
          <t>Use up credits / disable key.</t>
        </is>
      </c>
      <c r="G9" s="27" t="inlineStr">
        <is>
          <t>Order still completes; message skipped with reason.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INT-07</t>
        </is>
      </c>
      <c r="B10" s="21" t="inlineStr">
        <is>
          <t>P1</t>
        </is>
      </c>
      <c r="C10" s="22" t="inlineStr">
        <is>
          <t>QA</t>
        </is>
      </c>
      <c r="D10" s="22" t="inlineStr">
        <is>
          <t>bKash/Nagad</t>
        </is>
      </c>
      <c r="E10" s="22" t="inlineStr">
        <is>
          <t>Manual flow end to end</t>
        </is>
      </c>
      <c r="F10" s="22" t="inlineStr">
        <is>
          <t>Customer pays real small amount; owner verifies by TrxID.</t>
        </is>
      </c>
      <c r="G10" s="22" t="inlineStr">
        <is>
          <t>Whole loop works; reconciliation by hand matches.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INT-08</t>
        </is>
      </c>
      <c r="B11" s="26" t="inlineStr">
        <is>
          <t>P1</t>
        </is>
      </c>
      <c r="C11" s="27" t="inlineStr">
        <is>
          <t>QA</t>
        </is>
      </c>
      <c r="D11" s="27" t="inlineStr">
        <is>
          <t>UddoktaPay</t>
        </is>
      </c>
      <c r="E11" s="27" t="inlineStr">
        <is>
          <t>Gateway flow</t>
        </is>
      </c>
      <c r="F11" s="27" t="inlineStr">
        <is>
          <t>Pay, cancel, fail, webhook.</t>
        </is>
      </c>
      <c r="G11" s="27" t="inlineStr">
        <is>
          <t>Paid only on verified success; duplicate webhook harmless.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INT-09</t>
        </is>
      </c>
      <c r="B12" s="21" t="inlineStr">
        <is>
          <t>P1</t>
        </is>
      </c>
      <c r="C12" s="22" t="inlineStr">
        <is>
          <t>QA</t>
        </is>
      </c>
      <c r="D12" s="22" t="inlineStr">
        <is>
          <t>Meta</t>
        </is>
      </c>
      <c r="E12" s="22" t="inlineStr">
        <is>
          <t>Pixel, CAPI, catalog</t>
        </is>
      </c>
      <c r="F12" s="22" t="inlineStr">
        <is>
          <t>Check Events Manager and Commerce Manager feed.</t>
        </is>
      </c>
      <c r="G12" s="22" t="inlineStr">
        <is>
          <t>Events deduplicated; feed items valid; prices in BDT.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INT-10</t>
        </is>
      </c>
      <c r="B13" s="26" t="inlineStr">
        <is>
          <t>P2</t>
        </is>
      </c>
      <c r="C13" s="27" t="inlineStr">
        <is>
          <t>QA</t>
        </is>
      </c>
      <c r="D13" s="27" t="inlineStr">
        <is>
          <t>Google</t>
        </is>
      </c>
      <c r="E13" s="27" t="inlineStr">
        <is>
          <t>GA4 / GTM</t>
        </is>
      </c>
      <c r="F13" s="27" t="inlineStr">
        <is>
          <t>Check realtime reports.</t>
        </is>
      </c>
      <c r="G13" s="27" t="inlineStr">
        <is>
          <t>Purchase counted once.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INT-11</t>
        </is>
      </c>
      <c r="B14" s="21" t="inlineStr">
        <is>
          <t>P1</t>
        </is>
      </c>
      <c r="C14" s="22" t="inlineStr">
        <is>
          <t>QA</t>
        </is>
      </c>
      <c r="D14" s="22" t="inlineStr">
        <is>
          <t>Email</t>
        </is>
      </c>
      <c r="E14" s="22" t="inlineStr">
        <is>
          <t>Team and platform emails</t>
        </is>
      </c>
      <c r="F14" s="22" t="inlineStr">
        <is>
          <t>Send invite, sign-in code, billing notice.</t>
        </is>
      </c>
      <c r="G14" s="22" t="inlineStr">
        <is>
          <t>Arrive from the right sender; links work; not in spam.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INT-12</t>
        </is>
      </c>
      <c r="B15" s="26" t="inlineStr">
        <is>
          <t>P1</t>
        </is>
      </c>
      <c r="C15" s="27" t="inlineStr">
        <is>
          <t>QA</t>
        </is>
      </c>
      <c r="D15" s="27" t="inlineStr">
        <is>
          <t>Cron</t>
        </is>
      </c>
      <c r="E15" s="27" t="inlineStr">
        <is>
          <t>Scheduled jobs run</t>
        </is>
      </c>
      <c r="F15" s="27" t="inlineStr">
        <is>
          <t>Check each cron's last run.</t>
        </is>
      </c>
      <c r="G15" s="27" t="inlineStr">
        <is>
          <t>Abandoned SMS, stock alerts, courier sync, loyalty, domains, billing all ran recently without error.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INT-13</t>
        </is>
      </c>
      <c r="B16" s="21" t="inlineStr">
        <is>
          <t>P1</t>
        </is>
      </c>
      <c r="C16" s="22" t="inlineStr">
        <is>
          <t>QA</t>
        </is>
      </c>
      <c r="D16" s="22" t="inlineStr">
        <is>
          <t>Storage</t>
        </is>
      </c>
      <c r="E16" s="22" t="inlineStr">
        <is>
          <t>Photos persist</t>
        </is>
      </c>
      <c r="F16" s="22" t="inlineStr">
        <is>
          <t>Upload photo; redeploy; reopen.</t>
        </is>
      </c>
      <c r="G16" s="22" t="inlineStr">
        <is>
          <t>Photo still loads (production storage, not local disk).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INT-14</t>
        </is>
      </c>
      <c r="B17" s="26" t="inlineStr">
        <is>
          <t>P1</t>
        </is>
      </c>
      <c r="C17" s="27" t="inlineStr">
        <is>
          <t>QA</t>
        </is>
      </c>
      <c r="D17" s="27" t="inlineStr">
        <is>
          <t>Domains</t>
        </is>
      </c>
      <c r="E17" s="27" t="inlineStr">
        <is>
          <t>DNS and SSL</t>
        </is>
      </c>
      <c r="F17" s="27" t="inlineStr">
        <is>
          <t>Connect a real domain.</t>
        </is>
      </c>
      <c r="G17" s="27" t="inlineStr">
        <is>
          <t>Padlock; store, feed and links use it.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INT-15</t>
        </is>
      </c>
      <c r="B18" s="21" t="inlineStr">
        <is>
          <t>P1</t>
        </is>
      </c>
      <c r="C18" s="22" t="inlineStr">
        <is>
          <t>QA</t>
        </is>
      </c>
      <c r="D18" s="22" t="inlineStr">
        <is>
          <t>Backups</t>
        </is>
      </c>
      <c r="E18" s="22" t="inlineStr">
        <is>
          <t>Daily backup</t>
        </is>
      </c>
      <c r="F18" s="22" t="inlineStr">
        <is>
          <t>Check backup workflow and storage.</t>
        </is>
      </c>
      <c r="G18" s="22" t="inlineStr">
        <is>
          <t>Encrypted backup exists for yesterday.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INT-16</t>
        </is>
      </c>
      <c r="B19" s="26" t="inlineStr">
        <is>
          <t>P1</t>
        </is>
      </c>
      <c r="C19" s="27" t="inlineStr">
        <is>
          <t>QA</t>
        </is>
      </c>
      <c r="D19" s="27" t="inlineStr">
        <is>
          <t>Monitoring</t>
        </is>
      </c>
      <c r="E19" s="27" t="inlineStr">
        <is>
          <t>Smoke and migration checks</t>
        </is>
      </c>
      <c r="F19" s="27" t="inlineStr">
        <is>
          <t>Check scheduled GitHub checks.</t>
        </is>
      </c>
      <c r="G19" s="27" t="inlineStr">
        <is>
          <t>Green; failures alert the team.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</sheetData>
  <autoFilter ref="A3:M19"/>
  <conditionalFormatting sqref="J4:J19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9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9">
    <cfRule type="cellIs" priority="6" operator="equal" dxfId="6">
      <formula>"P1"</formula>
    </cfRule>
  </conditionalFormatting>
  <dataValidations count="1">
    <dataValidation sqref="H4:I1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Smoke test: run after every release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SMK-01</t>
        </is>
      </c>
      <c r="B4" s="21" t="inlineStr">
        <is>
          <t>P1</t>
        </is>
      </c>
      <c r="C4" s="22" t="inlineStr">
        <is>
          <t>QA</t>
        </is>
      </c>
      <c r="D4" s="22" t="inlineStr">
        <is>
          <t>Marketing</t>
        </is>
      </c>
      <c r="E4" s="22" t="inlineStr">
        <is>
          <t>Marketing home loads and signup page opens</t>
        </is>
      </c>
      <c r="F4" s="22" t="inlineStr">
        <is>
          <t>Open / and /start.</t>
        </is>
      </c>
      <c r="G4" s="22" t="inlineStr">
        <is>
          <t>Both load, no errors.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SMK-02</t>
        </is>
      </c>
      <c r="B5" s="26" t="inlineStr">
        <is>
          <t>P1</t>
        </is>
      </c>
      <c r="C5" s="27" t="inlineStr">
        <is>
          <t>QA</t>
        </is>
      </c>
      <c r="D5" s="27" t="inlineStr">
        <is>
          <t>Storefront</t>
        </is>
      </c>
      <c r="E5" s="27" t="inlineStr">
        <is>
          <t>Browse to a product</t>
        </is>
      </c>
      <c r="F5" s="27" t="inlineStr">
        <is>
          <t>Home &gt; category &gt; product.</t>
        </is>
      </c>
      <c r="G5" s="27" t="inlineStr">
        <is>
          <t>Loads with photos and prices.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SMK-03</t>
        </is>
      </c>
      <c r="B6" s="21" t="inlineStr">
        <is>
          <t>P1</t>
        </is>
      </c>
      <c r="C6" s="22" t="inlineStr">
        <is>
          <t>QA</t>
        </is>
      </c>
      <c r="D6" s="22" t="inlineStr">
        <is>
          <t>Storefront</t>
        </is>
      </c>
      <c r="E6" s="22" t="inlineStr">
        <is>
          <t>COD order end to end</t>
        </is>
      </c>
      <c r="F6" s="22" t="inlineStr">
        <is>
          <t>Add to cart &gt; checkout &gt; place COD order.</t>
        </is>
      </c>
      <c r="G6" s="22" t="inlineStr">
        <is>
          <t>Success page with order number.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SMK-04</t>
        </is>
      </c>
      <c r="B7" s="26" t="inlineStr">
        <is>
          <t>P1</t>
        </is>
      </c>
      <c r="C7" s="27" t="inlineStr">
        <is>
          <t>QA</t>
        </is>
      </c>
      <c r="D7" s="27" t="inlineStr">
        <is>
          <t>Storefront</t>
        </is>
      </c>
      <c r="E7" s="27" t="inlineStr">
        <is>
          <t>bKash order end to end</t>
        </is>
      </c>
      <c r="F7" s="27" t="inlineStr">
        <is>
          <t>Place bKash order with TrxID.</t>
        </is>
      </c>
      <c r="G7" s="27" t="inlineStr">
        <is>
          <t>Appears in Check payment.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SMK-05</t>
        </is>
      </c>
      <c r="B8" s="21" t="inlineStr">
        <is>
          <t>P1</t>
        </is>
      </c>
      <c r="C8" s="22" t="inlineStr">
        <is>
          <t>QA</t>
        </is>
      </c>
      <c r="D8" s="22" t="inlineStr">
        <is>
          <t>Admin</t>
        </is>
      </c>
      <c r="E8" s="22" t="inlineStr">
        <is>
          <t>Sign in and dashboard</t>
        </is>
      </c>
      <c r="F8" s="22" t="inlineStr">
        <is>
          <t>Sign in as owner.</t>
        </is>
      </c>
      <c r="G8" s="22" t="inlineStr">
        <is>
          <t>Dashboard shows today's orders including the two above.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SMK-06</t>
        </is>
      </c>
      <c r="B9" s="26" t="inlineStr">
        <is>
          <t>P1</t>
        </is>
      </c>
      <c r="C9" s="27" t="inlineStr">
        <is>
          <t>QA</t>
        </is>
      </c>
      <c r="D9" s="27" t="inlineStr">
        <is>
          <t>Admin</t>
        </is>
      </c>
      <c r="E9" s="27" t="inlineStr">
        <is>
          <t>Verify payment</t>
        </is>
      </c>
      <c r="F9" s="27" t="inlineStr">
        <is>
          <t>Confirm the bKash order.</t>
        </is>
      </c>
      <c r="G9" s="27" t="inlineStr">
        <is>
          <t>Moves to To pack.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SMK-07</t>
        </is>
      </c>
      <c r="B10" s="21" t="inlineStr">
        <is>
          <t>P1</t>
        </is>
      </c>
      <c r="C10" s="22" t="inlineStr">
        <is>
          <t>QA</t>
        </is>
      </c>
      <c r="D10" s="22" t="inlineStr">
        <is>
          <t>Admin</t>
        </is>
      </c>
      <c r="E10" s="22" t="inlineStr">
        <is>
          <t>Pack, print, ship</t>
        </is>
      </c>
      <c r="F10" s="22" t="inlineStr">
        <is>
          <t>Mark packed; print slip; ship with tracking.</t>
        </is>
      </c>
      <c r="G10" s="22" t="inlineStr">
        <is>
          <t>Each step works; slip prints.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SMK-08</t>
        </is>
      </c>
      <c r="B11" s="26" t="inlineStr">
        <is>
          <t>P1</t>
        </is>
      </c>
      <c r="C11" s="27" t="inlineStr">
        <is>
          <t>QA</t>
        </is>
      </c>
      <c r="D11" s="27" t="inlineStr">
        <is>
          <t>Admin</t>
        </is>
      </c>
      <c r="E11" s="27" t="inlineStr">
        <is>
          <t>Quick order</t>
        </is>
      </c>
      <c r="F11" s="27" t="inlineStr">
        <is>
          <t>Key in a phone order.</t>
        </is>
      </c>
      <c r="G11" s="27" t="inlineStr">
        <is>
          <t>Created and visible.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SMK-09</t>
        </is>
      </c>
      <c r="B12" s="21" t="inlineStr">
        <is>
          <t>P1</t>
        </is>
      </c>
      <c r="C12" s="22" t="inlineStr">
        <is>
          <t>QA</t>
        </is>
      </c>
      <c r="D12" s="22" t="inlineStr">
        <is>
          <t>Admin</t>
        </is>
      </c>
      <c r="E12" s="22" t="inlineStr">
        <is>
          <t>Add a product with a photo</t>
        </is>
      </c>
      <c r="F12" s="22" t="inlineStr">
        <is>
          <t>Add product; check on store.</t>
        </is>
      </c>
      <c r="G12" s="22" t="inlineStr">
        <is>
          <t>Visible on store with photo.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SMK-10</t>
        </is>
      </c>
      <c r="B13" s="26" t="inlineStr">
        <is>
          <t>P1</t>
        </is>
      </c>
      <c r="C13" s="27" t="inlineStr">
        <is>
          <t>QA</t>
        </is>
      </c>
      <c r="D13" s="27" t="inlineStr">
        <is>
          <t>Admin</t>
        </is>
      </c>
      <c r="E13" s="27" t="inlineStr">
        <is>
          <t>Inventory and POS open</t>
        </is>
      </c>
      <c r="F13" s="27" t="inlineStr">
        <is>
          <t>Open /inventory and /pos.</t>
        </is>
      </c>
      <c r="G13" s="27" t="inlineStr">
        <is>
          <t>Both load (no 500).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SMK-11</t>
        </is>
      </c>
      <c r="B14" s="21" t="inlineStr">
        <is>
          <t>P1</t>
        </is>
      </c>
      <c r="C14" s="22" t="inlineStr">
        <is>
          <t>QA</t>
        </is>
      </c>
      <c r="D14" s="22" t="inlineStr">
        <is>
          <t>Admin</t>
        </is>
      </c>
      <c r="E14" s="22" t="inlineStr">
        <is>
          <t>Reports open</t>
        </is>
      </c>
      <c r="F14" s="22" t="inlineStr">
        <is>
          <t>Open /reports, /reports/products, /reports/couriers.</t>
        </is>
      </c>
      <c r="G14" s="22" t="inlineStr">
        <is>
          <t>All load.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  <row r="15">
      <c r="A15" s="26" t="inlineStr">
        <is>
          <t>SMK-12</t>
        </is>
      </c>
      <c r="B15" s="26" t="inlineStr">
        <is>
          <t>P1</t>
        </is>
      </c>
      <c r="C15" s="27" t="inlineStr">
        <is>
          <t>QA</t>
        </is>
      </c>
      <c r="D15" s="27" t="inlineStr">
        <is>
          <t>Admin</t>
        </is>
      </c>
      <c r="E15" s="27" t="inlineStr">
        <is>
          <t>Customers and Inbox</t>
        </is>
      </c>
      <c r="F15" s="27" t="inlineStr">
        <is>
          <t>Open /customers and /inbox.</t>
        </is>
      </c>
      <c r="G15" s="27" t="inlineStr">
        <is>
          <t>Both load.</t>
        </is>
      </c>
      <c r="H15" s="23" t="n"/>
      <c r="I15" s="23" t="n"/>
      <c r="J15" s="28">
        <f>IF(OR(H15="Fail",I15="Fail"),"Fail",IF(OR(H15="Blocked",I15="Blocked"),"Blocked",IF(AND(OR(H15="Pass",H15="N/A"),OR(I15="Pass",I15="N/A"),COUNTIF(H15:I15,"Pass")&gt;0),"Pass",IF(AND(H15="N/A",I15="N/A"),"N/A",IF(COUNTA(H15:I15)=0,"Not run","In progress")))))</f>
        <v/>
      </c>
      <c r="K15" s="25" t="n"/>
      <c r="L15" s="23" t="n"/>
      <c r="M15" s="25" t="n"/>
    </row>
    <row r="16">
      <c r="A16" s="21" t="inlineStr">
        <is>
          <t>SMK-13</t>
        </is>
      </c>
      <c r="B16" s="21" t="inlineStr">
        <is>
          <t>P1</t>
        </is>
      </c>
      <c r="C16" s="22" t="inlineStr">
        <is>
          <t>QA</t>
        </is>
      </c>
      <c r="D16" s="22" t="inlineStr">
        <is>
          <t>Admin</t>
        </is>
      </c>
      <c r="E16" s="22" t="inlineStr">
        <is>
          <t>Settings open</t>
        </is>
      </c>
      <c r="F16" s="22" t="inlineStr">
        <is>
          <t>Open store, payments, shipping, staff.</t>
        </is>
      </c>
      <c r="G16" s="22" t="inlineStr">
        <is>
          <t>All load and save.</t>
        </is>
      </c>
      <c r="H16" s="23" t="n"/>
      <c r="I16" s="23" t="n"/>
      <c r="J16" s="24">
        <f>IF(OR(H16="Fail",I16="Fail"),"Fail",IF(OR(H16="Blocked",I16="Blocked"),"Blocked",IF(AND(OR(H16="Pass",H16="N/A"),OR(I16="Pass",I16="N/A"),COUNTIF(H16:I16,"Pass")&gt;0),"Pass",IF(AND(H16="N/A",I16="N/A"),"N/A",IF(COUNTA(H16:I16)=0,"Not run","In progress")))))</f>
        <v/>
      </c>
      <c r="K16" s="25" t="n"/>
      <c r="L16" s="23" t="n"/>
      <c r="M16" s="25" t="n"/>
    </row>
    <row r="17">
      <c r="A17" s="26" t="inlineStr">
        <is>
          <t>SMK-14</t>
        </is>
      </c>
      <c r="B17" s="26" t="inlineStr">
        <is>
          <t>P1</t>
        </is>
      </c>
      <c r="C17" s="27" t="inlineStr">
        <is>
          <t>QA</t>
        </is>
      </c>
      <c r="D17" s="27" t="inlineStr">
        <is>
          <t>Platform</t>
        </is>
      </c>
      <c r="E17" s="27" t="inlineStr">
        <is>
          <t>Platform admin opens</t>
        </is>
      </c>
      <c r="F17" s="27" t="inlineStr">
        <is>
          <t>Sign in; open dashboard, tenants, payments, settings, audit, themes.</t>
        </is>
      </c>
      <c r="G17" s="27" t="inlineStr">
        <is>
          <t>All load (no 500).</t>
        </is>
      </c>
      <c r="H17" s="23" t="n"/>
      <c r="I17" s="23" t="n"/>
      <c r="J17" s="28">
        <f>IF(OR(H17="Fail",I17="Fail"),"Fail",IF(OR(H17="Blocked",I17="Blocked"),"Blocked",IF(AND(OR(H17="Pass",H17="N/A"),OR(I17="Pass",I17="N/A"),COUNTIF(H17:I17,"Pass")&gt;0),"Pass",IF(AND(H17="N/A",I17="N/A"),"N/A",IF(COUNTA(H17:I17)=0,"Not run","In progress")))))</f>
        <v/>
      </c>
      <c r="K17" s="25" t="n"/>
      <c r="L17" s="23" t="n"/>
      <c r="M17" s="25" t="n"/>
    </row>
    <row r="18">
      <c r="A18" s="21" t="inlineStr">
        <is>
          <t>SMK-15</t>
        </is>
      </c>
      <c r="B18" s="21" t="inlineStr">
        <is>
          <t>P1</t>
        </is>
      </c>
      <c r="C18" s="22" t="inlineStr">
        <is>
          <t>QA</t>
        </is>
      </c>
      <c r="D18" s="22" t="inlineStr">
        <is>
          <t>Database</t>
        </is>
      </c>
      <c r="E18" s="22" t="inlineStr">
        <is>
          <t>Migrations applied</t>
        </is>
      </c>
      <c r="F18" s="22" t="inlineStr">
        <is>
          <t>Check Migrations workflow.</t>
        </is>
      </c>
      <c r="G18" s="22" t="inlineStr">
        <is>
          <t>Green.</t>
        </is>
      </c>
      <c r="H18" s="23" t="n"/>
      <c r="I18" s="23" t="n"/>
      <c r="J18" s="24">
        <f>IF(OR(H18="Fail",I18="Fail"),"Fail",IF(OR(H18="Blocked",I18="Blocked"),"Blocked",IF(AND(OR(H18="Pass",H18="N/A"),OR(I18="Pass",I18="N/A"),COUNTIF(H18:I18,"Pass")&gt;0),"Pass",IF(AND(H18="N/A",I18="N/A"),"N/A",IF(COUNTA(H18:I18)=0,"Not run","In progress")))))</f>
        <v/>
      </c>
      <c r="K18" s="25" t="n"/>
      <c r="L18" s="23" t="n"/>
      <c r="M18" s="25" t="n"/>
    </row>
    <row r="19">
      <c r="A19" s="26" t="inlineStr">
        <is>
          <t>SMK-16</t>
        </is>
      </c>
      <c r="B19" s="26" t="inlineStr">
        <is>
          <t>P1</t>
        </is>
      </c>
      <c r="C19" s="27" t="inlineStr">
        <is>
          <t>QA</t>
        </is>
      </c>
      <c r="D19" s="27" t="inlineStr">
        <is>
          <t>Roles</t>
        </is>
      </c>
      <c r="E19" s="27" t="inlineStr">
        <is>
          <t>Packer restriction</t>
        </is>
      </c>
      <c r="F19" s="27" t="inlineStr">
        <is>
          <t>Sign in as packer; open /settings/payments.</t>
        </is>
      </c>
      <c r="G19" s="27" t="inlineStr">
        <is>
          <t>Redirected to no-access.</t>
        </is>
      </c>
      <c r="H19" s="23" t="n"/>
      <c r="I19" s="23" t="n"/>
      <c r="J19" s="28">
        <f>IF(OR(H19="Fail",I19="Fail"),"Fail",IF(OR(H19="Blocked",I19="Blocked"),"Blocked",IF(AND(OR(H19="Pass",H19="N/A"),OR(I19="Pass",I19="N/A"),COUNTIF(H19:I19,"Pass")&gt;0),"Pass",IF(AND(H19="N/A",I19="N/A"),"N/A",IF(COUNTA(H19:I19)=0,"Not run","In progress")))))</f>
        <v/>
      </c>
      <c r="K19" s="25" t="n"/>
      <c r="L19" s="23" t="n"/>
      <c r="M19" s="25" t="n"/>
    </row>
    <row r="20">
      <c r="A20" s="21" t="inlineStr">
        <is>
          <t>SMK-17</t>
        </is>
      </c>
      <c r="B20" s="21" t="inlineStr">
        <is>
          <t>P1</t>
        </is>
      </c>
      <c r="C20" s="22" t="inlineStr">
        <is>
          <t>QA</t>
        </is>
      </c>
      <c r="D20" s="22" t="inlineStr">
        <is>
          <t>Mobile</t>
        </is>
      </c>
      <c r="E20" s="22" t="inlineStr">
        <is>
          <t>Phone check</t>
        </is>
      </c>
      <c r="F20" s="22" t="inlineStr">
        <is>
          <t>Repeat COD order and admin order view on a 390px phone.</t>
        </is>
      </c>
      <c r="G20" s="22" t="inlineStr">
        <is>
          <t>Works; no sideways scroll.</t>
        </is>
      </c>
      <c r="H20" s="23" t="n"/>
      <c r="I20" s="23" t="n"/>
      <c r="J20" s="24">
        <f>IF(OR(H20="Fail",I20="Fail"),"Fail",IF(OR(H20="Blocked",I20="Blocked"),"Blocked",IF(AND(OR(H20="Pass",H20="N/A"),OR(I20="Pass",I20="N/A"),COUNTIF(H20:I20,"Pass")&gt;0),"Pass",IF(AND(H20="N/A",I20="N/A"),"N/A",IF(COUNTA(H20:I20)=0,"Not run","In progress")))))</f>
        <v/>
      </c>
      <c r="K20" s="25" t="n"/>
      <c r="L20" s="23" t="n"/>
      <c r="M20" s="25" t="n"/>
    </row>
  </sheetData>
  <autoFilter ref="A3:M20"/>
  <conditionalFormatting sqref="J4:J20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20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20">
    <cfRule type="cellIs" priority="6" operator="equal" dxfId="6">
      <formula>"P1"</formula>
    </cfRule>
  </conditionalFormatting>
  <dataValidations count="1">
    <dataValidation sqref="H4:I20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zoomScale="10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2" customWidth="1" min="4" max="4"/>
    <col width="30" customWidth="1" min="5" max="5"/>
    <col width="46" customWidth="1" min="6" max="6"/>
    <col width="46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34" customWidth="1" min="13" max="13"/>
  </cols>
  <sheetData>
    <row r="1">
      <c r="A1" s="20" t="inlineStr">
        <is>
          <t>Release readiness</t>
        </is>
      </c>
    </row>
    <row r="2">
      <c r="A2" s="10" t="inlineStr">
        <is>
          <t>Mark Phone and Desktop with Pass / Fail / Blocked / N/A. Result fills itself. P1 = release blocker, P2 = should work, P3 = polish.</t>
        </is>
      </c>
    </row>
    <row r="3" ht="30" customHeight="1">
      <c r="A3" s="11" t="inlineStr">
        <is>
          <t>ID</t>
        </is>
      </c>
      <c r="B3" s="11" t="inlineStr">
        <is>
          <t>Priority</t>
        </is>
      </c>
      <c r="C3" s="11" t="inlineStr">
        <is>
          <t>Role</t>
        </is>
      </c>
      <c r="D3" s="11" t="inlineStr">
        <is>
          <t>Where</t>
        </is>
      </c>
      <c r="E3" s="11" t="inlineStr">
        <is>
          <t>Check</t>
        </is>
      </c>
      <c r="F3" s="11" t="inlineStr">
        <is>
          <t>Steps</t>
        </is>
      </c>
      <c r="G3" s="11" t="inlineStr">
        <is>
          <t>Expected result</t>
        </is>
      </c>
      <c r="H3" s="11" t="inlineStr">
        <is>
          <t>Phone 390px</t>
        </is>
      </c>
      <c r="I3" s="11" t="inlineStr">
        <is>
          <t>Desktop 1440px</t>
        </is>
      </c>
      <c r="J3" s="11" t="inlineStr">
        <is>
          <t>Result</t>
        </is>
      </c>
      <c r="K3" s="11" t="inlineStr">
        <is>
          <t>Tester</t>
        </is>
      </c>
      <c r="L3" s="11" t="inlineStr">
        <is>
          <t>Date</t>
        </is>
      </c>
      <c r="M3" s="11" t="inlineStr">
        <is>
          <t>Bug ref / notes</t>
        </is>
      </c>
    </row>
    <row r="4">
      <c r="A4" s="21" t="inlineStr">
        <is>
          <t>REL-01</t>
        </is>
      </c>
      <c r="B4" s="21" t="inlineStr">
        <is>
          <t>P1</t>
        </is>
      </c>
      <c r="C4" s="22" t="inlineStr">
        <is>
          <t>Dev lead</t>
        </is>
      </c>
      <c r="D4" s="22" t="inlineStr">
        <is>
          <t>Code</t>
        </is>
      </c>
      <c r="E4" s="22" t="inlineStr">
        <is>
          <t>Tests pass</t>
        </is>
      </c>
      <c r="F4" s="22" t="inlineStr">
        <is>
          <t>Run pnpm test, pnpm typecheck, pnpm build locally or in CI.</t>
        </is>
      </c>
      <c r="G4" s="22" t="inlineStr">
        <is>
          <t>All green (list any known failing tests and why).</t>
        </is>
      </c>
      <c r="H4" s="23" t="n"/>
      <c r="I4" s="23" t="n"/>
      <c r="J4" s="24">
        <f>IF(OR(H4="Fail",I4="Fail"),"Fail",IF(OR(H4="Blocked",I4="Blocked"),"Blocked",IF(AND(OR(H4="Pass",H4="N/A"),OR(I4="Pass",I4="N/A"),COUNTIF(H4:I4,"Pass")&gt;0),"Pass",IF(AND(H4="N/A",I4="N/A"),"N/A",IF(COUNTA(H4:I4)=0,"Not run","In progress")))))</f>
        <v/>
      </c>
      <c r="K4" s="25" t="n"/>
      <c r="L4" s="23" t="n"/>
      <c r="M4" s="25" t="n"/>
    </row>
    <row r="5">
      <c r="A5" s="26" t="inlineStr">
        <is>
          <t>REL-02</t>
        </is>
      </c>
      <c r="B5" s="26" t="inlineStr">
        <is>
          <t>P1</t>
        </is>
      </c>
      <c r="C5" s="27" t="inlineStr">
        <is>
          <t>Dev lead</t>
        </is>
      </c>
      <c r="D5" s="27" t="inlineStr">
        <is>
          <t>Code</t>
        </is>
      </c>
      <c r="E5" s="27" t="inlineStr">
        <is>
          <t>End-to-end suites pass</t>
        </is>
      </c>
      <c r="F5" s="27" t="inlineStr">
        <is>
          <t>Run the Playwright suites for admin and storefront.</t>
        </is>
      </c>
      <c r="G5" s="27" t="inlineStr">
        <is>
          <t>Pass at 390 and 1440 widths.</t>
        </is>
      </c>
      <c r="H5" s="23" t="n"/>
      <c r="I5" s="23" t="n"/>
      <c r="J5" s="28">
        <f>IF(OR(H5="Fail",I5="Fail"),"Fail",IF(OR(H5="Blocked",I5="Blocked"),"Blocked",IF(AND(OR(H5="Pass",H5="N/A"),OR(I5="Pass",I5="N/A"),COUNTIF(H5:I5,"Pass")&gt;0),"Pass",IF(AND(H5="N/A",I5="N/A"),"N/A",IF(COUNTA(H5:I5)=0,"Not run","In progress")))))</f>
        <v/>
      </c>
      <c r="K5" s="25" t="n"/>
      <c r="L5" s="23" t="n"/>
      <c r="M5" s="25" t="n"/>
    </row>
    <row r="6">
      <c r="A6" s="21" t="inlineStr">
        <is>
          <t>REL-03</t>
        </is>
      </c>
      <c r="B6" s="21" t="inlineStr">
        <is>
          <t>P1</t>
        </is>
      </c>
      <c r="C6" s="22" t="inlineStr">
        <is>
          <t>Dev lead</t>
        </is>
      </c>
      <c r="D6" s="22" t="inlineStr">
        <is>
          <t>Database</t>
        </is>
      </c>
      <c r="E6" s="22" t="inlineStr">
        <is>
          <t>Migrations reviewed</t>
        </is>
      </c>
      <c r="F6" s="22" t="inlineStr">
        <is>
          <t>Read every new migration: additive? destructive? row-level security? grants?</t>
        </is>
      </c>
      <c r="G6" s="22" t="inlineStr">
        <is>
          <t>No dropped data without a plan; every tenant table has isolation policy.</t>
        </is>
      </c>
      <c r="H6" s="23" t="n"/>
      <c r="I6" s="23" t="n"/>
      <c r="J6" s="24">
        <f>IF(OR(H6="Fail",I6="Fail"),"Fail",IF(OR(H6="Blocked",I6="Blocked"),"Blocked",IF(AND(OR(H6="Pass",H6="N/A"),OR(I6="Pass",I6="N/A"),COUNTIF(H6:I6,"Pass")&gt;0),"Pass",IF(AND(H6="N/A",I6="N/A"),"N/A",IF(COUNTA(H6:I6)=0,"Not run","In progress")))))</f>
        <v/>
      </c>
      <c r="K6" s="25" t="n"/>
      <c r="L6" s="23" t="n"/>
      <c r="M6" s="25" t="n"/>
    </row>
    <row r="7">
      <c r="A7" s="26" t="inlineStr">
        <is>
          <t>REL-04</t>
        </is>
      </c>
      <c r="B7" s="26" t="inlineStr">
        <is>
          <t>P1</t>
        </is>
      </c>
      <c r="C7" s="27" t="inlineStr">
        <is>
          <t>Dev lead</t>
        </is>
      </c>
      <c r="D7" s="27" t="inlineStr">
        <is>
          <t>Database</t>
        </is>
      </c>
      <c r="E7" s="27" t="inlineStr">
        <is>
          <t>Migration order</t>
        </is>
      </c>
      <c r="F7" s="27" t="inlineStr">
        <is>
          <t>Plan: migrate first or code first?</t>
        </is>
      </c>
      <c r="G7" s="27" t="inlineStr">
        <is>
          <t>Code never reads a column the database does not have yet.</t>
        </is>
      </c>
      <c r="H7" s="23" t="n"/>
      <c r="I7" s="23" t="n"/>
      <c r="J7" s="28">
        <f>IF(OR(H7="Fail",I7="Fail"),"Fail",IF(OR(H7="Blocked",I7="Blocked"),"Blocked",IF(AND(OR(H7="Pass",H7="N/A"),OR(I7="Pass",I7="N/A"),COUNTIF(H7:I7,"Pass")&gt;0),"Pass",IF(AND(H7="N/A",I7="N/A"),"N/A",IF(COUNTA(H7:I7)=0,"Not run","In progress")))))</f>
        <v/>
      </c>
      <c r="K7" s="25" t="n"/>
      <c r="L7" s="23" t="n"/>
      <c r="M7" s="25" t="n"/>
    </row>
    <row r="8">
      <c r="A8" s="21" t="inlineStr">
        <is>
          <t>REL-05</t>
        </is>
      </c>
      <c r="B8" s="21" t="inlineStr">
        <is>
          <t>P1</t>
        </is>
      </c>
      <c r="C8" s="22" t="inlineStr">
        <is>
          <t>Release owner</t>
        </is>
      </c>
      <c r="D8" s="22" t="inlineStr">
        <is>
          <t>Deploy</t>
        </is>
      </c>
      <c r="E8" s="22" t="inlineStr">
        <is>
          <t>Run migrations</t>
        </is>
      </c>
      <c r="F8" s="22" t="inlineStr">
        <is>
          <t>Run the Deploy workflow (or set DEPLOY_ENABLED).</t>
        </is>
      </c>
      <c r="G8" s="22" t="inlineStr">
        <is>
          <t>Migrations check goes green.</t>
        </is>
      </c>
      <c r="H8" s="23" t="n"/>
      <c r="I8" s="23" t="n"/>
      <c r="J8" s="24">
        <f>IF(OR(H8="Fail",I8="Fail"),"Fail",IF(OR(H8="Blocked",I8="Blocked"),"Blocked",IF(AND(OR(H8="Pass",H8="N/A"),OR(I8="Pass",I8="N/A"),COUNTIF(H8:I8,"Pass")&gt;0),"Pass",IF(AND(H8="N/A",I8="N/A"),"N/A",IF(COUNTA(H8:I8)=0,"Not run","In progress")))))</f>
        <v/>
      </c>
      <c r="K8" s="25" t="n"/>
      <c r="L8" s="23" t="n"/>
      <c r="M8" s="25" t="n"/>
    </row>
    <row r="9">
      <c r="A9" s="26" t="inlineStr">
        <is>
          <t>REL-06</t>
        </is>
      </c>
      <c r="B9" s="26" t="inlineStr">
        <is>
          <t>P1</t>
        </is>
      </c>
      <c r="C9" s="27" t="inlineStr">
        <is>
          <t>Release owner</t>
        </is>
      </c>
      <c r="D9" s="27" t="inlineStr">
        <is>
          <t>Deploy</t>
        </is>
      </c>
      <c r="E9" s="27" t="inlineStr">
        <is>
          <t>All four apps deployed</t>
        </is>
      </c>
      <c r="F9" s="27" t="inlineStr">
        <is>
          <t>Check Vercel for marketing, storefront, admin, platform.</t>
        </is>
      </c>
      <c r="G9" s="27" t="inlineStr">
        <is>
          <t>READY, correct commit.</t>
        </is>
      </c>
      <c r="H9" s="23" t="n"/>
      <c r="I9" s="23" t="n"/>
      <c r="J9" s="28">
        <f>IF(OR(H9="Fail",I9="Fail"),"Fail",IF(OR(H9="Blocked",I9="Blocked"),"Blocked",IF(AND(OR(H9="Pass",H9="N/A"),OR(I9="Pass",I9="N/A"),COUNTIF(H9:I9,"Pass")&gt;0),"Pass",IF(AND(H9="N/A",I9="N/A"),"N/A",IF(COUNTA(H9:I9)=0,"Not run","In progress")))))</f>
        <v/>
      </c>
      <c r="K9" s="25" t="n"/>
      <c r="L9" s="23" t="n"/>
      <c r="M9" s="25" t="n"/>
    </row>
    <row r="10">
      <c r="A10" s="21" t="inlineStr">
        <is>
          <t>REL-07</t>
        </is>
      </c>
      <c r="B10" s="21" t="inlineStr">
        <is>
          <t>P1</t>
        </is>
      </c>
      <c r="C10" s="22" t="inlineStr">
        <is>
          <t>QA lead</t>
        </is>
      </c>
      <c r="D10" s="22" t="inlineStr">
        <is>
          <t>Smoke</t>
        </is>
      </c>
      <c r="E10" s="22" t="inlineStr">
        <is>
          <t>Smoke sheet passes</t>
        </is>
      </c>
      <c r="F10" s="22" t="inlineStr">
        <is>
          <t>Run the Smoke sheet on production.</t>
        </is>
      </c>
      <c r="G10" s="22" t="inlineStr">
        <is>
          <t>All P1 pass.</t>
        </is>
      </c>
      <c r="H10" s="23" t="n"/>
      <c r="I10" s="23" t="n"/>
      <c r="J10" s="24">
        <f>IF(OR(H10="Fail",I10="Fail"),"Fail",IF(OR(H10="Blocked",I10="Blocked"),"Blocked",IF(AND(OR(H10="Pass",H10="N/A"),OR(I10="Pass",I10="N/A"),COUNTIF(H10:I10,"Pass")&gt;0),"Pass",IF(AND(H10="N/A",I10="N/A"),"N/A",IF(COUNTA(H10:I10)=0,"Not run","In progress")))))</f>
        <v/>
      </c>
      <c r="K10" s="25" t="n"/>
      <c r="L10" s="23" t="n"/>
      <c r="M10" s="25" t="n"/>
    </row>
    <row r="11">
      <c r="A11" s="26" t="inlineStr">
        <is>
          <t>REL-08</t>
        </is>
      </c>
      <c r="B11" s="26" t="inlineStr">
        <is>
          <t>P1</t>
        </is>
      </c>
      <c r="C11" s="27" t="inlineStr">
        <is>
          <t>QA lead</t>
        </is>
      </c>
      <c r="D11" s="27" t="inlineStr">
        <is>
          <t>Rollback</t>
        </is>
      </c>
      <c r="E11" s="27" t="inlineStr">
        <is>
          <t>Rollback ready</t>
        </is>
      </c>
      <c r="F11" s="27" t="inlineStr">
        <is>
          <t>Know the previous good deployment and database backup.</t>
        </is>
      </c>
      <c r="G11" s="27" t="inlineStr">
        <is>
          <t>Documented before release.</t>
        </is>
      </c>
      <c r="H11" s="23" t="n"/>
      <c r="I11" s="23" t="n"/>
      <c r="J11" s="28">
        <f>IF(OR(H11="Fail",I11="Fail"),"Fail",IF(OR(H11="Blocked",I11="Blocked"),"Blocked",IF(AND(OR(H11="Pass",H11="N/A"),OR(I11="Pass",I11="N/A"),COUNTIF(H11:I11,"Pass")&gt;0),"Pass",IF(AND(H11="N/A",I11="N/A"),"N/A",IF(COUNTA(H11:I11)=0,"Not run","In progress")))))</f>
        <v/>
      </c>
      <c r="K11" s="25" t="n"/>
      <c r="L11" s="23" t="n"/>
      <c r="M11" s="25" t="n"/>
    </row>
    <row r="12">
      <c r="A12" s="21" t="inlineStr">
        <is>
          <t>REL-09</t>
        </is>
      </c>
      <c r="B12" s="21" t="inlineStr">
        <is>
          <t>P1</t>
        </is>
      </c>
      <c r="C12" s="22" t="inlineStr">
        <is>
          <t>Release owner</t>
        </is>
      </c>
      <c r="D12" s="22" t="inlineStr">
        <is>
          <t>Comms</t>
        </is>
      </c>
      <c r="E12" s="22" t="inlineStr">
        <is>
          <t>Known issues listed</t>
        </is>
      </c>
      <c r="F12" s="22" t="inlineStr">
        <is>
          <t>Copy open defects to release notes.</t>
        </is>
      </c>
      <c r="G12" s="22" t="inlineStr">
        <is>
          <t>No P1 open.</t>
        </is>
      </c>
      <c r="H12" s="23" t="n"/>
      <c r="I12" s="23" t="n"/>
      <c r="J12" s="24">
        <f>IF(OR(H12="Fail",I12="Fail"),"Fail",IF(OR(H12="Blocked",I12="Blocked"),"Blocked",IF(AND(OR(H12="Pass",H12="N/A"),OR(I12="Pass",I12="N/A"),COUNTIF(H12:I12,"Pass")&gt;0),"Pass",IF(AND(H12="N/A",I12="N/A"),"N/A",IF(COUNTA(H12:I12)=0,"Not run","In progress")))))</f>
        <v/>
      </c>
      <c r="K12" s="25" t="n"/>
      <c r="L12" s="23" t="n"/>
      <c r="M12" s="25" t="n"/>
    </row>
    <row r="13">
      <c r="A13" s="26" t="inlineStr">
        <is>
          <t>REL-10</t>
        </is>
      </c>
      <c r="B13" s="26" t="inlineStr">
        <is>
          <t>P2</t>
        </is>
      </c>
      <c r="C13" s="27" t="inlineStr">
        <is>
          <t>Release owner</t>
        </is>
      </c>
      <c r="D13" s="27" t="inlineStr">
        <is>
          <t>Monitoring</t>
        </is>
      </c>
      <c r="E13" s="27" t="inlineStr">
        <is>
          <t>Watch for an hour</t>
        </is>
      </c>
      <c r="F13" s="27" t="inlineStr">
        <is>
          <t>Check error logs, orders flowing, SMS sending.</t>
        </is>
      </c>
      <c r="G13" s="27" t="inlineStr">
        <is>
          <t>No spike in errors.</t>
        </is>
      </c>
      <c r="H13" s="23" t="n"/>
      <c r="I13" s="23" t="n"/>
      <c r="J13" s="28">
        <f>IF(OR(H13="Fail",I13="Fail"),"Fail",IF(OR(H13="Blocked",I13="Blocked"),"Blocked",IF(AND(OR(H13="Pass",H13="N/A"),OR(I13="Pass",I13="N/A"),COUNTIF(H13:I13,"Pass")&gt;0),"Pass",IF(AND(H13="N/A",I13="N/A"),"N/A",IF(COUNTA(H13:I13)=0,"Not run","In progress")))))</f>
        <v/>
      </c>
      <c r="K13" s="25" t="n"/>
      <c r="L13" s="23" t="n"/>
      <c r="M13" s="25" t="n"/>
    </row>
    <row r="14">
      <c r="A14" s="21" t="inlineStr">
        <is>
          <t>REL-11</t>
        </is>
      </c>
      <c r="B14" s="21" t="inlineStr">
        <is>
          <t>P1</t>
        </is>
      </c>
      <c r="C14" s="22" t="inlineStr">
        <is>
          <t>Release owner</t>
        </is>
      </c>
      <c r="D14" s="22" t="inlineStr">
        <is>
          <t>Sign-off</t>
        </is>
      </c>
      <c r="E14" s="22" t="inlineStr">
        <is>
          <t>Sign-off recorded</t>
        </is>
      </c>
      <c r="F14" s="22" t="inlineStr">
        <is>
          <t>Fill the sign-off block on the Read Me sheet.</t>
        </is>
      </c>
      <c r="G14" s="22" t="inlineStr">
        <is>
          <t>QA lead, Dev lead and Owner names and dates.</t>
        </is>
      </c>
      <c r="H14" s="23" t="n"/>
      <c r="I14" s="23" t="n"/>
      <c r="J14" s="24">
        <f>IF(OR(H14="Fail",I14="Fail"),"Fail",IF(OR(H14="Blocked",I14="Blocked"),"Blocked",IF(AND(OR(H14="Pass",H14="N/A"),OR(I14="Pass",I14="N/A"),COUNTIF(H14:I14,"Pass")&gt;0),"Pass",IF(AND(H14="N/A",I14="N/A"),"N/A",IF(COUNTA(H14:I14)=0,"Not run","In progress")))))</f>
        <v/>
      </c>
      <c r="K14" s="25" t="n"/>
      <c r="L14" s="23" t="n"/>
      <c r="M14" s="25" t="n"/>
    </row>
  </sheetData>
  <autoFilter ref="A3:M14"/>
  <conditionalFormatting sqref="J4:J14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"Blocked"</formula>
    </cfRule>
  </conditionalFormatting>
  <conditionalFormatting sqref="H4:I14">
    <cfRule type="cellIs" priority="4" operator="equal" dxfId="4">
      <formula>"Fail"</formula>
    </cfRule>
    <cfRule type="cellIs" priority="5" operator="equal" dxfId="5">
      <formula>"Pass"</formula>
    </cfRule>
  </conditionalFormatting>
  <conditionalFormatting sqref="B4:B14">
    <cfRule type="cellIs" priority="6" operator="equal" dxfId="6">
      <formula>"P1"</formula>
    </cfRule>
  </conditionalFormatting>
  <dataValidations count="1">
    <dataValidation sqref="H4:I14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B42318"/>
    <outlinePr summaryBelow="1" summaryRight="1"/>
    <pageSetUpPr/>
  </sheetPr>
  <dimension ref="A1:Q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" customWidth="1" min="4" max="4"/>
    <col width="22" customWidth="1" min="5" max="5"/>
    <col width="11" customWidth="1" min="6" max="6"/>
    <col width="34" customWidth="1" min="7" max="7"/>
    <col width="44" customWidth="1" min="8" max="8"/>
    <col width="30" customWidth="1" min="9" max="9"/>
    <col width="30" customWidth="1" min="10" max="10"/>
    <col width="18" customWidth="1" min="11" max="11"/>
    <col width="24" customWidth="1" min="12" max="12"/>
    <col width="12" customWidth="1" min="13" max="13"/>
    <col width="14" customWidth="1" min="14" max="14"/>
    <col width="20" customWidth="1" min="15" max="15"/>
    <col width="12" customWidth="1" min="16" max="16"/>
    <col width="12" customWidth="1" min="17" max="17"/>
  </cols>
  <sheetData>
    <row r="1">
      <c r="A1" s="20" t="inlineStr">
        <is>
          <t>Defect log</t>
        </is>
      </c>
    </row>
    <row r="2">
      <c r="A2" s="10" t="inlineStr">
        <is>
          <t>One row per bug. Severity: Blocker = cannot release / data loss / security; Major = feature broken, no workaround; Minor = workaround exists; Cosmetic = looks wrong only.</t>
        </is>
      </c>
    </row>
    <row r="3" ht="30" customHeight="1">
      <c r="A3" s="11" t="inlineStr">
        <is>
          <t>Bug ID</t>
        </is>
      </c>
      <c r="B3" s="11" t="inlineStr">
        <is>
          <t>Date found</t>
        </is>
      </c>
      <c r="C3" s="11" t="inlineStr">
        <is>
          <t>Found by</t>
        </is>
      </c>
      <c r="D3" s="11" t="inlineStr">
        <is>
          <t>Check ID</t>
        </is>
      </c>
      <c r="E3" s="11" t="inlineStr">
        <is>
          <t>Area / page</t>
        </is>
      </c>
      <c r="F3" s="11" t="inlineStr">
        <is>
          <t>Severity</t>
        </is>
      </c>
      <c r="G3" s="11" t="inlineStr">
        <is>
          <t>Summary</t>
        </is>
      </c>
      <c r="H3" s="11" t="inlineStr">
        <is>
          <t>Steps to reproduce</t>
        </is>
      </c>
      <c r="I3" s="11" t="inlineStr">
        <is>
          <t>Expected</t>
        </is>
      </c>
      <c r="J3" s="11" t="inlineStr">
        <is>
          <t>Actual</t>
        </is>
      </c>
      <c r="K3" s="11" t="inlineStr">
        <is>
          <t>Device / browser</t>
        </is>
      </c>
      <c r="L3" s="11" t="inlineStr">
        <is>
          <t>Screenshot / link</t>
        </is>
      </c>
      <c r="M3" s="11" t="inlineStr">
        <is>
          <t>Status</t>
        </is>
      </c>
      <c r="N3" s="11" t="inlineStr">
        <is>
          <t>Assigned to</t>
        </is>
      </c>
      <c r="O3" s="11" t="inlineStr">
        <is>
          <t>Fixed in (commit / release)</t>
        </is>
      </c>
      <c r="P3" s="11" t="inlineStr">
        <is>
          <t>Retested by</t>
        </is>
      </c>
      <c r="Q3" s="11" t="inlineStr">
        <is>
          <t>Retest date</t>
        </is>
      </c>
    </row>
    <row r="4">
      <c r="A4" s="29" t="inlineStr">
        <is>
          <t>BUG-001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</row>
    <row r="5">
      <c r="A5" s="29" t="inlineStr">
        <is>
          <t>BUG-002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</row>
    <row r="6">
      <c r="A6" s="29" t="inlineStr">
        <is>
          <t>BUG-003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</row>
    <row r="7">
      <c r="A7" s="29" t="inlineStr">
        <is>
          <t>BUG-004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</row>
    <row r="8">
      <c r="A8" s="29" t="inlineStr">
        <is>
          <t>BUG-005</t>
        </is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>
      <c r="A9" s="29" t="inlineStr">
        <is>
          <t>BUG-006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</row>
    <row r="10">
      <c r="A10" s="29" t="inlineStr">
        <is>
          <t>BUG-007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</row>
    <row r="11">
      <c r="A11" s="29" t="inlineStr">
        <is>
          <t>BUG-008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</row>
    <row r="12">
      <c r="A12" s="29" t="inlineStr">
        <is>
          <t>BUG-009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</row>
    <row r="13">
      <c r="A13" s="29" t="inlineStr">
        <is>
          <t>BUG-010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</row>
    <row r="14">
      <c r="A14" s="29" t="inlineStr">
        <is>
          <t>BUG-011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</row>
    <row r="15">
      <c r="A15" s="29" t="inlineStr">
        <is>
          <t>BUG-012</t>
        </is>
      </c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</row>
    <row r="16">
      <c r="A16" s="29" t="inlineStr">
        <is>
          <t>BUG-013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</row>
    <row r="17">
      <c r="A17" s="29" t="inlineStr">
        <is>
          <t>BUG-014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</row>
    <row r="18">
      <c r="A18" s="29" t="inlineStr">
        <is>
          <t>BUG-015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</row>
    <row r="19">
      <c r="A19" s="29" t="inlineStr">
        <is>
          <t>BUG-016</t>
        </is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</row>
    <row r="20">
      <c r="A20" s="29" t="inlineStr">
        <is>
          <t>BUG-017</t>
        </is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</row>
    <row r="21">
      <c r="A21" s="29" t="inlineStr">
        <is>
          <t>BUG-018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</row>
    <row r="22">
      <c r="A22" s="29" t="inlineStr">
        <is>
          <t>BUG-019</t>
        </is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</row>
    <row r="23">
      <c r="A23" s="29" t="inlineStr">
        <is>
          <t>BUG-020</t>
        </is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</row>
    <row r="24">
      <c r="A24" s="29" t="inlineStr">
        <is>
          <t>BUG-021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</row>
    <row r="25">
      <c r="A25" s="29" t="inlineStr">
        <is>
          <t>BUG-022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</row>
    <row r="26">
      <c r="A26" s="29" t="inlineStr">
        <is>
          <t>BUG-023</t>
        </is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</row>
    <row r="27">
      <c r="A27" s="29" t="inlineStr">
        <is>
          <t>BUG-024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</row>
    <row r="28">
      <c r="A28" s="29" t="inlineStr">
        <is>
          <t>BUG-025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</row>
    <row r="29">
      <c r="A29" s="29" t="inlineStr">
        <is>
          <t>BUG-026</t>
        </is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</row>
    <row r="30">
      <c r="A30" s="29" t="inlineStr">
        <is>
          <t>BUG-027</t>
        </is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</row>
    <row r="31">
      <c r="A31" s="29" t="inlineStr">
        <is>
          <t>BUG-028</t>
        </is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</row>
    <row r="32">
      <c r="A32" s="29" t="inlineStr">
        <is>
          <t>BUG-029</t>
        </is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</row>
    <row r="33">
      <c r="A33" s="29" t="inlineStr">
        <is>
          <t>BUG-030</t>
        </is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</row>
    <row r="34">
      <c r="A34" s="29" t="inlineStr">
        <is>
          <t>BUG-031</t>
        </is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</row>
    <row r="35">
      <c r="A35" s="29" t="inlineStr">
        <is>
          <t>BUG-032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</row>
    <row r="36">
      <c r="A36" s="29" t="inlineStr">
        <is>
          <t>BUG-033</t>
        </is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</row>
    <row r="37">
      <c r="A37" s="29" t="inlineStr">
        <is>
          <t>BUG-034</t>
        </is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</row>
    <row r="38">
      <c r="A38" s="29" t="inlineStr">
        <is>
          <t>BUG-035</t>
        </is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</row>
    <row r="39">
      <c r="A39" s="29" t="inlineStr">
        <is>
          <t>BUG-036</t>
        </is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</row>
    <row r="40">
      <c r="A40" s="29" t="inlineStr">
        <is>
          <t>BUG-037</t>
        </is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</row>
    <row r="41">
      <c r="A41" s="29" t="inlineStr">
        <is>
          <t>BUG-038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</row>
    <row r="42">
      <c r="A42" s="29" t="inlineStr">
        <is>
          <t>BUG-039</t>
        </is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</row>
    <row r="43">
      <c r="A43" s="29" t="inlineStr">
        <is>
          <t>BUG-040</t>
        </is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</row>
    <row r="44">
      <c r="A44" s="29" t="inlineStr">
        <is>
          <t>BUG-041</t>
        </is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</row>
    <row r="45">
      <c r="A45" s="29" t="inlineStr">
        <is>
          <t>BUG-042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</row>
    <row r="46">
      <c r="A46" s="29" t="inlineStr">
        <is>
          <t>BUG-043</t>
        </is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</row>
    <row r="47">
      <c r="A47" s="29" t="inlineStr">
        <is>
          <t>BUG-044</t>
        </is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</row>
    <row r="48">
      <c r="A48" s="29" t="inlineStr">
        <is>
          <t>BUG-045</t>
        </is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</row>
    <row r="49">
      <c r="A49" s="29" t="inlineStr">
        <is>
          <t>BUG-046</t>
        </is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</row>
    <row r="50">
      <c r="A50" s="29" t="inlineStr">
        <is>
          <t>BUG-047</t>
        </is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</row>
    <row r="51">
      <c r="A51" s="29" t="inlineStr">
        <is>
          <t>BUG-048</t>
        </is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</row>
    <row r="52">
      <c r="A52" s="29" t="inlineStr">
        <is>
          <t>BUG-049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</row>
    <row r="53">
      <c r="A53" s="29" t="inlineStr">
        <is>
          <t>BUG-050</t>
        </is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</row>
    <row r="54">
      <c r="A54" s="29" t="inlineStr">
        <is>
          <t>BUG-051</t>
        </is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</row>
    <row r="55">
      <c r="A55" s="29" t="inlineStr">
        <is>
          <t>BUG-052</t>
        </is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</row>
    <row r="56">
      <c r="A56" s="29" t="inlineStr">
        <is>
          <t>BUG-053</t>
        </is>
      </c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</row>
    <row r="57">
      <c r="A57" s="29" t="inlineStr">
        <is>
          <t>BUG-054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</row>
    <row r="58">
      <c r="A58" s="29" t="inlineStr">
        <is>
          <t>BUG-055</t>
        </is>
      </c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</row>
    <row r="59">
      <c r="A59" s="29" t="inlineStr">
        <is>
          <t>BUG-056</t>
        </is>
      </c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</row>
    <row r="60">
      <c r="A60" s="29" t="inlineStr">
        <is>
          <t>BUG-057</t>
        </is>
      </c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</row>
    <row r="61">
      <c r="A61" s="29" t="inlineStr">
        <is>
          <t>BUG-058</t>
        </is>
      </c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</row>
    <row r="62">
      <c r="A62" s="29" t="inlineStr">
        <is>
          <t>BUG-059</t>
        </is>
      </c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</row>
    <row r="63">
      <c r="A63" s="29" t="inlineStr">
        <is>
          <t>BUG-060</t>
        </is>
      </c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</row>
    <row r="64">
      <c r="A64" s="29" t="inlineStr">
        <is>
          <t>BUG-061</t>
        </is>
      </c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</row>
    <row r="65">
      <c r="A65" s="29" t="inlineStr">
        <is>
          <t>BUG-062</t>
        </is>
      </c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</row>
    <row r="66">
      <c r="A66" s="29" t="inlineStr">
        <is>
          <t>BUG-063</t>
        </is>
      </c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</row>
    <row r="67">
      <c r="A67" s="29" t="inlineStr">
        <is>
          <t>BUG-064</t>
        </is>
      </c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</row>
    <row r="68">
      <c r="A68" s="29" t="inlineStr">
        <is>
          <t>BUG-065</t>
        </is>
      </c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</row>
    <row r="69">
      <c r="A69" s="29" t="inlineStr">
        <is>
          <t>BUG-066</t>
        </is>
      </c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</row>
    <row r="70">
      <c r="A70" s="29" t="inlineStr">
        <is>
          <t>BUG-067</t>
        </is>
      </c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</row>
    <row r="71">
      <c r="A71" s="29" t="inlineStr">
        <is>
          <t>BUG-068</t>
        </is>
      </c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</row>
    <row r="72">
      <c r="A72" s="29" t="inlineStr">
        <is>
          <t>BUG-069</t>
        </is>
      </c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</row>
    <row r="73">
      <c r="A73" s="29" t="inlineStr">
        <is>
          <t>BUG-070</t>
        </is>
      </c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</row>
    <row r="74">
      <c r="A74" s="29" t="inlineStr">
        <is>
          <t>BUG-071</t>
        </is>
      </c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</row>
    <row r="75">
      <c r="A75" s="29" t="inlineStr">
        <is>
          <t>BUG-072</t>
        </is>
      </c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</row>
    <row r="76">
      <c r="A76" s="29" t="inlineStr">
        <is>
          <t>BUG-073</t>
        </is>
      </c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</row>
    <row r="77">
      <c r="A77" s="29" t="inlineStr">
        <is>
          <t>BUG-074</t>
        </is>
      </c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</row>
    <row r="78">
      <c r="A78" s="29" t="inlineStr">
        <is>
          <t>BUG-075</t>
        </is>
      </c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</row>
    <row r="79">
      <c r="A79" s="29" t="inlineStr">
        <is>
          <t>BUG-076</t>
        </is>
      </c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</row>
    <row r="80">
      <c r="A80" s="29" t="inlineStr">
        <is>
          <t>BUG-077</t>
        </is>
      </c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</row>
    <row r="81">
      <c r="A81" s="29" t="inlineStr">
        <is>
          <t>BUG-078</t>
        </is>
      </c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</row>
    <row r="82">
      <c r="A82" s="29" t="inlineStr">
        <is>
          <t>BUG-079</t>
        </is>
      </c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</row>
    <row r="83">
      <c r="A83" s="29" t="inlineStr">
        <is>
          <t>BUG-080</t>
        </is>
      </c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</row>
    <row r="84">
      <c r="A84" s="29" t="inlineStr">
        <is>
          <t>BUG-081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</row>
    <row r="85">
      <c r="A85" s="29" t="inlineStr">
        <is>
          <t>BUG-082</t>
        </is>
      </c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</row>
    <row r="86">
      <c r="A86" s="29" t="inlineStr">
        <is>
          <t>BUG-083</t>
        </is>
      </c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</row>
    <row r="87">
      <c r="A87" s="29" t="inlineStr">
        <is>
          <t>BUG-084</t>
        </is>
      </c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</row>
    <row r="88">
      <c r="A88" s="29" t="inlineStr">
        <is>
          <t>BUG-085</t>
        </is>
      </c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</row>
    <row r="89">
      <c r="A89" s="29" t="inlineStr">
        <is>
          <t>BUG-086</t>
        </is>
      </c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</row>
    <row r="90">
      <c r="A90" s="29" t="inlineStr">
        <is>
          <t>BUG-087</t>
        </is>
      </c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</row>
    <row r="91">
      <c r="A91" s="29" t="inlineStr">
        <is>
          <t>BUG-088</t>
        </is>
      </c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</row>
    <row r="92">
      <c r="A92" s="29" t="inlineStr">
        <is>
          <t>BUG-089</t>
        </is>
      </c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</row>
    <row r="93">
      <c r="A93" s="29" t="inlineStr">
        <is>
          <t>BUG-090</t>
        </is>
      </c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</row>
    <row r="94">
      <c r="A94" s="29" t="inlineStr">
        <is>
          <t>BUG-091</t>
        </is>
      </c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</row>
    <row r="95">
      <c r="A95" s="29" t="inlineStr">
        <is>
          <t>BUG-092</t>
        </is>
      </c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</row>
    <row r="96">
      <c r="A96" s="29" t="inlineStr">
        <is>
          <t>BUG-093</t>
        </is>
      </c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</row>
    <row r="97">
      <c r="A97" s="29" t="inlineStr">
        <is>
          <t>BUG-094</t>
        </is>
      </c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</row>
    <row r="98">
      <c r="A98" s="29" t="inlineStr">
        <is>
          <t>BUG-095</t>
        </is>
      </c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</row>
    <row r="99">
      <c r="A99" s="29" t="inlineStr">
        <is>
          <t>BUG-096</t>
        </is>
      </c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</row>
    <row r="100">
      <c r="A100" s="29" t="inlineStr">
        <is>
          <t>BUG-097</t>
        </is>
      </c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</row>
    <row r="101">
      <c r="A101" s="29" t="inlineStr">
        <is>
          <t>BUG-098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</row>
    <row r="102">
      <c r="A102" s="29" t="inlineStr">
        <is>
          <t>BUG-099</t>
        </is>
      </c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</row>
    <row r="103">
      <c r="A103" s="29" t="inlineStr">
        <is>
          <t>BUG-100</t>
        </is>
      </c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</row>
    <row r="104">
      <c r="A104" s="29" t="inlineStr">
        <is>
          <t>BUG-101</t>
        </is>
      </c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</row>
    <row r="105">
      <c r="A105" s="29" t="inlineStr">
        <is>
          <t>BUG-102</t>
        </is>
      </c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</row>
    <row r="106">
      <c r="A106" s="29" t="inlineStr">
        <is>
          <t>BUG-103</t>
        </is>
      </c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</row>
    <row r="107">
      <c r="A107" s="29" t="inlineStr">
        <is>
          <t>BUG-104</t>
        </is>
      </c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</row>
    <row r="108">
      <c r="A108" s="29" t="inlineStr">
        <is>
          <t>BUG-105</t>
        </is>
      </c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</row>
    <row r="109">
      <c r="A109" s="29" t="inlineStr">
        <is>
          <t>BUG-106</t>
        </is>
      </c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</row>
    <row r="110">
      <c r="A110" s="29" t="inlineStr">
        <is>
          <t>BUG-107</t>
        </is>
      </c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</row>
    <row r="111">
      <c r="A111" s="29" t="inlineStr">
        <is>
          <t>BUG-108</t>
        </is>
      </c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</row>
    <row r="112">
      <c r="A112" s="29" t="inlineStr">
        <is>
          <t>BUG-109</t>
        </is>
      </c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</row>
    <row r="113">
      <c r="A113" s="29" t="inlineStr">
        <is>
          <t>BUG-110</t>
        </is>
      </c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</row>
    <row r="114">
      <c r="A114" s="29" t="inlineStr">
        <is>
          <t>BUG-111</t>
        </is>
      </c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</row>
    <row r="115">
      <c r="A115" s="29" t="inlineStr">
        <is>
          <t>BUG-112</t>
        </is>
      </c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</row>
    <row r="116">
      <c r="A116" s="29" t="inlineStr">
        <is>
          <t>BUG-113</t>
        </is>
      </c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</row>
    <row r="117">
      <c r="A117" s="29" t="inlineStr">
        <is>
          <t>BUG-114</t>
        </is>
      </c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</row>
    <row r="118">
      <c r="A118" s="29" t="inlineStr">
        <is>
          <t>BUG-115</t>
        </is>
      </c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</row>
    <row r="119">
      <c r="A119" s="29" t="inlineStr">
        <is>
          <t>BUG-116</t>
        </is>
      </c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</row>
    <row r="120">
      <c r="A120" s="29" t="inlineStr">
        <is>
          <t>BUG-117</t>
        </is>
      </c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</row>
    <row r="121">
      <c r="A121" s="29" t="inlineStr">
        <is>
          <t>BUG-118</t>
        </is>
      </c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</row>
    <row r="122">
      <c r="A122" s="29" t="inlineStr">
        <is>
          <t>BUG-119</t>
        </is>
      </c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</row>
    <row r="123">
      <c r="A123" s="29" t="inlineStr">
        <is>
          <t>BUG-120</t>
        </is>
      </c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</row>
    <row r="124">
      <c r="A124" s="29" t="inlineStr">
        <is>
          <t>BUG-121</t>
        </is>
      </c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</row>
    <row r="125">
      <c r="A125" s="29" t="inlineStr">
        <is>
          <t>BUG-122</t>
        </is>
      </c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</row>
    <row r="126">
      <c r="A126" s="29" t="inlineStr">
        <is>
          <t>BUG-123</t>
        </is>
      </c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</row>
    <row r="127">
      <c r="A127" s="29" t="inlineStr">
        <is>
          <t>BUG-124</t>
        </is>
      </c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</row>
    <row r="128">
      <c r="A128" s="29" t="inlineStr">
        <is>
          <t>BUG-125</t>
        </is>
      </c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</row>
    <row r="129">
      <c r="A129" s="29" t="inlineStr">
        <is>
          <t>BUG-126</t>
        </is>
      </c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</row>
    <row r="130">
      <c r="A130" s="29" t="inlineStr">
        <is>
          <t>BUG-127</t>
        </is>
      </c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</row>
    <row r="131">
      <c r="A131" s="29" t="inlineStr">
        <is>
          <t>BUG-128</t>
        </is>
      </c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</row>
    <row r="132">
      <c r="A132" s="29" t="inlineStr">
        <is>
          <t>BUG-129</t>
        </is>
      </c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</row>
    <row r="133">
      <c r="A133" s="29" t="inlineStr">
        <is>
          <t>BUG-130</t>
        </is>
      </c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</row>
    <row r="134">
      <c r="A134" s="29" t="inlineStr">
        <is>
          <t>BUG-131</t>
        </is>
      </c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</row>
    <row r="135">
      <c r="A135" s="29" t="inlineStr">
        <is>
          <t>BUG-132</t>
        </is>
      </c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</row>
    <row r="136">
      <c r="A136" s="29" t="inlineStr">
        <is>
          <t>BUG-133</t>
        </is>
      </c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</row>
    <row r="137">
      <c r="A137" s="29" t="inlineStr">
        <is>
          <t>BUG-134</t>
        </is>
      </c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</row>
    <row r="138">
      <c r="A138" s="29" t="inlineStr">
        <is>
          <t>BUG-135</t>
        </is>
      </c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</row>
    <row r="139">
      <c r="A139" s="29" t="inlineStr">
        <is>
          <t>BUG-136</t>
        </is>
      </c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</row>
    <row r="140">
      <c r="A140" s="29" t="inlineStr">
        <is>
          <t>BUG-137</t>
        </is>
      </c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</row>
    <row r="141">
      <c r="A141" s="29" t="inlineStr">
        <is>
          <t>BUG-138</t>
        </is>
      </c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</row>
    <row r="142">
      <c r="A142" s="29" t="inlineStr">
        <is>
          <t>BUG-139</t>
        </is>
      </c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</row>
    <row r="143">
      <c r="A143" s="29" t="inlineStr">
        <is>
          <t>BUG-140</t>
        </is>
      </c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</row>
    <row r="144">
      <c r="A144" s="29" t="inlineStr">
        <is>
          <t>BUG-141</t>
        </is>
      </c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</row>
    <row r="145">
      <c r="A145" s="29" t="inlineStr">
        <is>
          <t>BUG-142</t>
        </is>
      </c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</row>
    <row r="146">
      <c r="A146" s="29" t="inlineStr">
        <is>
          <t>BUG-143</t>
        </is>
      </c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</row>
    <row r="147">
      <c r="A147" s="29" t="inlineStr">
        <is>
          <t>BUG-144</t>
        </is>
      </c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</row>
    <row r="148">
      <c r="A148" s="29" t="inlineStr">
        <is>
          <t>BUG-145</t>
        </is>
      </c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</row>
    <row r="149">
      <c r="A149" s="29" t="inlineStr">
        <is>
          <t>BUG-146</t>
        </is>
      </c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</row>
    <row r="150">
      <c r="A150" s="29" t="inlineStr">
        <is>
          <t>BUG-147</t>
        </is>
      </c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</row>
    <row r="151">
      <c r="A151" s="29" t="inlineStr">
        <is>
          <t>BUG-148</t>
        </is>
      </c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</row>
    <row r="152">
      <c r="A152" s="29" t="inlineStr">
        <is>
          <t>BUG-149</t>
        </is>
      </c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</row>
    <row r="153">
      <c r="A153" s="29" t="inlineStr">
        <is>
          <t>BUG-150</t>
        </is>
      </c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</row>
    <row r="154">
      <c r="A154" s="29" t="inlineStr">
        <is>
          <t>BUG-151</t>
        </is>
      </c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</row>
    <row r="155">
      <c r="A155" s="29" t="inlineStr">
        <is>
          <t>BUG-152</t>
        </is>
      </c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</row>
    <row r="156">
      <c r="A156" s="29" t="inlineStr">
        <is>
          <t>BUG-153</t>
        </is>
      </c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</row>
    <row r="157">
      <c r="A157" s="29" t="inlineStr">
        <is>
          <t>BUG-154</t>
        </is>
      </c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</row>
    <row r="158">
      <c r="A158" s="29" t="inlineStr">
        <is>
          <t>BUG-155</t>
        </is>
      </c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</row>
    <row r="159">
      <c r="A159" s="29" t="inlineStr">
        <is>
          <t>BUG-156</t>
        </is>
      </c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</row>
    <row r="160">
      <c r="A160" s="29" t="inlineStr">
        <is>
          <t>BUG-157</t>
        </is>
      </c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</row>
    <row r="161">
      <c r="A161" s="29" t="inlineStr">
        <is>
          <t>BUG-158</t>
        </is>
      </c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</row>
    <row r="162">
      <c r="A162" s="29" t="inlineStr">
        <is>
          <t>BUG-159</t>
        </is>
      </c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</row>
    <row r="163">
      <c r="A163" s="29" t="inlineStr">
        <is>
          <t>BUG-160</t>
        </is>
      </c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</row>
    <row r="164">
      <c r="A164" s="29" t="inlineStr">
        <is>
          <t>BUG-161</t>
        </is>
      </c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</row>
    <row r="165">
      <c r="A165" s="29" t="inlineStr">
        <is>
          <t>BUG-162</t>
        </is>
      </c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</row>
    <row r="166">
      <c r="A166" s="29" t="inlineStr">
        <is>
          <t>BUG-163</t>
        </is>
      </c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</row>
    <row r="167">
      <c r="A167" s="29" t="inlineStr">
        <is>
          <t>BUG-164</t>
        </is>
      </c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</row>
    <row r="168">
      <c r="A168" s="29" t="inlineStr">
        <is>
          <t>BUG-165</t>
        </is>
      </c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</row>
    <row r="169">
      <c r="A169" s="29" t="inlineStr">
        <is>
          <t>BUG-166</t>
        </is>
      </c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</row>
    <row r="170">
      <c r="A170" s="29" t="inlineStr">
        <is>
          <t>BUG-167</t>
        </is>
      </c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</row>
    <row r="171">
      <c r="A171" s="29" t="inlineStr">
        <is>
          <t>BUG-168</t>
        </is>
      </c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</row>
    <row r="172">
      <c r="A172" s="29" t="inlineStr">
        <is>
          <t>BUG-169</t>
        </is>
      </c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</row>
    <row r="173">
      <c r="A173" s="29" t="inlineStr">
        <is>
          <t>BUG-170</t>
        </is>
      </c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</row>
    <row r="174">
      <c r="A174" s="29" t="inlineStr">
        <is>
          <t>BUG-171</t>
        </is>
      </c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</row>
    <row r="175">
      <c r="A175" s="29" t="inlineStr">
        <is>
          <t>BUG-172</t>
        </is>
      </c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</row>
    <row r="176">
      <c r="A176" s="29" t="inlineStr">
        <is>
          <t>BUG-173</t>
        </is>
      </c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</row>
    <row r="177">
      <c r="A177" s="29" t="inlineStr">
        <is>
          <t>BUG-174</t>
        </is>
      </c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</row>
    <row r="178">
      <c r="A178" s="29" t="inlineStr">
        <is>
          <t>BUG-175</t>
        </is>
      </c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</row>
    <row r="179">
      <c r="A179" s="29" t="inlineStr">
        <is>
          <t>BUG-176</t>
        </is>
      </c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</row>
    <row r="180">
      <c r="A180" s="29" t="inlineStr">
        <is>
          <t>BUG-177</t>
        </is>
      </c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</row>
    <row r="181">
      <c r="A181" s="29" t="inlineStr">
        <is>
          <t>BUG-178</t>
        </is>
      </c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</row>
    <row r="182">
      <c r="A182" s="29" t="inlineStr">
        <is>
          <t>BUG-179</t>
        </is>
      </c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</row>
    <row r="183">
      <c r="A183" s="29" t="inlineStr">
        <is>
          <t>BUG-180</t>
        </is>
      </c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</row>
    <row r="184">
      <c r="A184" s="29" t="inlineStr">
        <is>
          <t>BUG-181</t>
        </is>
      </c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</row>
    <row r="185">
      <c r="A185" s="29" t="inlineStr">
        <is>
          <t>BUG-182</t>
        </is>
      </c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</row>
    <row r="186">
      <c r="A186" s="29" t="inlineStr">
        <is>
          <t>BUG-183</t>
        </is>
      </c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</row>
    <row r="187">
      <c r="A187" s="29" t="inlineStr">
        <is>
          <t>BUG-184</t>
        </is>
      </c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</row>
    <row r="188">
      <c r="A188" s="29" t="inlineStr">
        <is>
          <t>BUG-185</t>
        </is>
      </c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</row>
    <row r="189">
      <c r="A189" s="29" t="inlineStr">
        <is>
          <t>BUG-186</t>
        </is>
      </c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</row>
    <row r="190">
      <c r="A190" s="29" t="inlineStr">
        <is>
          <t>BUG-187</t>
        </is>
      </c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</row>
    <row r="191">
      <c r="A191" s="29" t="inlineStr">
        <is>
          <t>BUG-188</t>
        </is>
      </c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</row>
    <row r="192">
      <c r="A192" s="29" t="inlineStr">
        <is>
          <t>BUG-189</t>
        </is>
      </c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</row>
    <row r="193">
      <c r="A193" s="29" t="inlineStr">
        <is>
          <t>BUG-190</t>
        </is>
      </c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</row>
    <row r="194">
      <c r="A194" s="29" t="inlineStr">
        <is>
          <t>BUG-191</t>
        </is>
      </c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</row>
    <row r="195">
      <c r="A195" s="29" t="inlineStr">
        <is>
          <t>BUG-192</t>
        </is>
      </c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</row>
    <row r="196">
      <c r="A196" s="29" t="inlineStr">
        <is>
          <t>BUG-193</t>
        </is>
      </c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</row>
    <row r="197">
      <c r="A197" s="29" t="inlineStr">
        <is>
          <t>BUG-194</t>
        </is>
      </c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</row>
    <row r="198">
      <c r="A198" s="29" t="inlineStr">
        <is>
          <t>BUG-195</t>
        </is>
      </c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</row>
    <row r="199">
      <c r="A199" s="29" t="inlineStr">
        <is>
          <t>BUG-196</t>
        </is>
      </c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</row>
    <row r="200">
      <c r="A200" s="29" t="inlineStr">
        <is>
          <t>BUG-197</t>
        </is>
      </c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</row>
    <row r="201">
      <c r="A201" s="29" t="inlineStr">
        <is>
          <t>BUG-198</t>
        </is>
      </c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</row>
    <row r="202">
      <c r="A202" s="29" t="inlineStr">
        <is>
          <t>BUG-199</t>
        </is>
      </c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</row>
    <row r="203">
      <c r="A203" s="29" t="inlineStr">
        <is>
          <t>BUG-200</t>
        </is>
      </c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</row>
  </sheetData>
  <autoFilter ref="A3:Q203"/>
  <conditionalFormatting sqref="F4:F203">
    <cfRule type="cellIs" priority="1" operator="equal" dxfId="0">
      <formula>"Blocker"</formula>
    </cfRule>
    <cfRule type="cellIs" priority="2" operator="equal" dxfId="1">
      <formula>"Major"</formula>
    </cfRule>
  </conditionalFormatting>
  <dataValidations count="2">
    <dataValidation sqref="F4:F203" showDropDown="0" showInputMessage="0" showErrorMessage="0" allowBlank="1" type="list">
      <formula1>"Blocker,Major,Minor,Cosmetic"</formula1>
    </dataValidation>
    <dataValidation sqref="M4:M203" showDropDown="0" showInputMessage="0" showErrorMessage="0" allowBlank="1" type="list">
      <formula1>"Open,In progress,Fixed,Retest failed,Verified,Won't fix,Duplicate"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2026-10-14T16:32:39Z</dcterms:created>
  <dcterms:modified xmlns:dcterms="http://purl.org/dc/terms/" xmlns:xsi="http://www.w3.org/2001/XMLSchema-instance" xsi:type="dcterms:W3CDTF">2026-10-14T16:32:40Z</dcterms:modified>
</cp:coreProperties>
</file>