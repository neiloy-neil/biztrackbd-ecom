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Cost Model" sheetId="3" state="visible" r:id="rId5"/>
    <sheet name="Per Plan" sheetId="4" state="visible" r:id="rId6"/>
    <sheet name="Sources" sheetId="5" state="visible" r:id="rId7"/>
    <sheet name="Ad Benchmarks" sheetId="6" state="visible" r:id="rId8"/>
    <sheet name="Marketing Budget" sheetId="7" state="visible" r:id="rId9"/>
    <sheet name="Forecas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<sst xmlns="http://schemas.openxmlformats.org/spreadsheetml/2006/main" count="365" uniqueCount="313">
  <si>
    <t xml:space="preserve">BizTrackBD: 6- and 12-month returns (base case)</t>
  </si>
  <si>
    <t xml:space="preserve">Everything here is calculated. Change inputs on the other tabs. Profit is before salaries unless entered on Inputs (cell B14).</t>
  </si>
  <si>
    <t xml:space="preserve">Metric</t>
  </si>
  <si>
    <t xml:space="preserve">First 6 months (Nov-Apr)</t>
  </si>
  <si>
    <t xml:space="preserve">Full 12 months (Nov-Oct)</t>
  </si>
  <si>
    <t xml:space="preserve">What it means</t>
  </si>
  <si>
    <t xml:space="preserve">Spend</t>
  </si>
  <si>
    <t xml:space="preserve">Total marketing spend</t>
  </si>
  <si>
    <t xml:space="preserve">Ads, content, creators, events, discounts, commissions</t>
  </si>
  <si>
    <t xml:space="preserve">  of which Meta ads</t>
  </si>
  <si>
    <t xml:space="preserve">Prospecting + retargeting</t>
  </si>
  <si>
    <t xml:space="preserve">  of which Google ads</t>
  </si>
  <si>
    <t xml:space="preserve">Search + YouTube</t>
  </si>
  <si>
    <t xml:space="preserve">Platform and running costs</t>
  </si>
  <si>
    <t xml:space="preserve">Hosting, SMS, email, bKash charges, admin</t>
  </si>
  <si>
    <t xml:space="preserve">Total expenses</t>
  </si>
  <si>
    <t xml:space="preserve">Everything you pay out</t>
  </si>
  <si>
    <t xml:space="preserve">Ad performance</t>
  </si>
  <si>
    <t xml:space="preserve">Impressions</t>
  </si>
  <si>
    <t xml:space="preserve">Times your ads are shown</t>
  </si>
  <si>
    <t xml:space="preserve">Clicks</t>
  </si>
  <si>
    <t xml:space="preserve">Blended CPM</t>
  </si>
  <si>
    <t xml:space="preserve">Cost per 1,000 views, all channels</t>
  </si>
  <si>
    <t xml:space="preserve">Blended CPC</t>
  </si>
  <si>
    <t xml:space="preserve">Cost per click, all channels</t>
  </si>
  <si>
    <t xml:space="preserve">Blended CTR</t>
  </si>
  <si>
    <t xml:space="preserve">Share of viewers who click</t>
  </si>
  <si>
    <t xml:space="preserve">Trial sign-ups (all sources)</t>
  </si>
  <si>
    <t xml:space="preserve">Cost per trial from ads (CPL)</t>
  </si>
  <si>
    <t xml:space="preserve">Arafat Labs B2B/SaaS range: ৳400-1,200</t>
  </si>
  <si>
    <t xml:space="preserve">Growth</t>
  </si>
  <si>
    <t xml:space="preserve">New paying stores won</t>
  </si>
  <si>
    <t xml:space="preserve">Paying stores at the end</t>
  </si>
  <si>
    <t xml:space="preserve">After 4% monthly churn</t>
  </si>
  <si>
    <t xml:space="preserve">MRR at the end</t>
  </si>
  <si>
    <t xml:space="preserve">Monthly recurring revenue</t>
  </si>
  <si>
    <t xml:space="preserve">Annual run rate (MRR × 12)</t>
  </si>
  <si>
    <t xml:space="preserve">What a year looks like at the end-of-period pace</t>
  </si>
  <si>
    <t xml:space="preserve">Returns</t>
  </si>
  <si>
    <t xml:space="preserve">Total revenue</t>
  </si>
  <si>
    <t xml:space="preserve">Profit or loss for the period</t>
  </si>
  <si>
    <t xml:space="preserve">Revenue minus all expenses</t>
  </si>
  <si>
    <t xml:space="preserve">Lowest cash point (money you must fund)</t>
  </si>
  <si>
    <t xml:space="preserve">Peak investment needed before profits repay it</t>
  </si>
  <si>
    <t xml:space="preserve">Marketing ROI</t>
  </si>
  <si>
    <t xml:space="preserve">Profit ÷ marketing spent. Negative early is normal for SaaS</t>
  </si>
  <si>
    <t xml:space="preserve">ROAS, first paid month</t>
  </si>
  <si>
    <t xml:space="preserve">One month of revenue ÷ ad cost to win it</t>
  </si>
  <si>
    <t xml:space="preserve">ROAS, 12-month value</t>
  </si>
  <si>
    <t xml:space="preserve">Year-one revenue from ad-won stores ÷ ad spend. Aim for 3x+</t>
  </si>
  <si>
    <t xml:space="preserve">CAC from ads</t>
  </si>
  <si>
    <t xml:space="preserve">Target: under ৳5,000</t>
  </si>
  <si>
    <t xml:space="preserve">CAC all-in</t>
  </si>
  <si>
    <t xml:space="preserve">All marketing ÷ all stores won</t>
  </si>
  <si>
    <t xml:space="preserve">LTV : CAC (all-in)</t>
  </si>
  <si>
    <t xml:space="preserve">Healthy SaaS is 3x or more</t>
  </si>
  <si>
    <t xml:space="preserve">Months to earn back CAC</t>
  </si>
  <si>
    <t xml:space="preserve">Target: under 6 months</t>
  </si>
  <si>
    <t xml:space="preserve">First profitable month</t>
  </si>
  <si>
    <t xml:space="preserve">Revenue beats all costs that month</t>
  </si>
  <si>
    <t xml:space="preserve">Month all money is earned back</t>
  </si>
  <si>
    <t xml:space="preserve">Cumulative cash back to zero</t>
  </si>
  <si>
    <t xml:space="preserve">BizTrackBD cost model: inputs</t>
  </si>
  <si>
    <t xml:space="preserve">Blue = an input you can change. Yellow = a guess to replace with real data. Black = calculated. Change only blue cells.</t>
  </si>
  <si>
    <t xml:space="preserve">Item</t>
  </si>
  <si>
    <t xml:space="preserve">Value</t>
  </si>
  <si>
    <t xml:space="preserve">Unit</t>
  </si>
  <si>
    <t xml:space="preserve">Source / note</t>
  </si>
  <si>
    <t xml:space="preserve">General</t>
  </si>
  <si>
    <t xml:space="preserve">Exchange rate</t>
  </si>
  <si>
    <t xml:space="preserve">৳ per US$</t>
  </si>
  <si>
    <t xml:space="preserve">You, 14 Oct 2026 (your card rate incl. bank charges)</t>
  </si>
  <si>
    <t xml:space="preserve">bKash cash-out charge on subscription money</t>
  </si>
  <si>
    <t xml:space="preserve">% of revenue</t>
  </si>
  <si>
    <t xml:space="preserve">You, 14 Oct 2026</t>
  </si>
  <si>
    <t xml:space="preserve">Fixed monthly costs</t>
  </si>
  <si>
    <t xml:space="preserve">Vercel Pro seats</t>
  </si>
  <si>
    <t xml:space="preserve">seats</t>
  </si>
  <si>
    <t xml:space="preserve">Vercel Pro price per seat</t>
  </si>
  <si>
    <t xml:space="preserve">US$ / month</t>
  </si>
  <si>
    <t xml:space="preserve">You; Vercel Pro is US$20 per seat (MakerKit, May 2026)</t>
  </si>
  <si>
    <t xml:space="preserve">Supabase Pro plan</t>
  </si>
  <si>
    <t xml:space="preserve">You; includes US$10 compute credit (Focus Reactive, Oct 2026)</t>
  </si>
  <si>
    <t xml:space="preserve">Domains (biztrack.bd + biztrackbd.com)</t>
  </si>
  <si>
    <t xml:space="preserve">৳ / year</t>
  </si>
  <si>
    <t xml:space="preserve">Business admin (licence, accounting, misc.)</t>
  </si>
  <si>
    <t xml:space="preserve">৳ / month</t>
  </si>
  <si>
    <t xml:space="preserve">Your answer '2000' to question 8; read as ৳2,000 a month. Change if it is yearly or meant for AI</t>
  </si>
  <si>
    <t xml:space="preserve">Team salaries for BizTrack</t>
  </si>
  <si>
    <t xml:space="preserve">Not given. Enter support, developer and marketing time here; it will be your biggest cost</t>
  </si>
  <si>
    <t xml:space="preserve">Other paid tools</t>
  </si>
  <si>
    <t xml:space="preserve">You: none for now</t>
  </si>
  <si>
    <t xml:space="preserve">Plans</t>
  </si>
  <si>
    <t xml:space="preserve">Plan</t>
  </si>
  <si>
    <t xml:space="preserve">Price (৳ / month)</t>
  </si>
  <si>
    <t xml:space="preserve">Share of stores</t>
  </si>
  <si>
    <t xml:space="preserve">SMS sent per store / month</t>
  </si>
  <si>
    <t xml:space="preserve">Starter</t>
  </si>
  <si>
    <t xml:space="preserve">Prices from the live pricing page. Share and SMS use are guesses until real data</t>
  </si>
  <si>
    <t xml:space="preserve">Pro</t>
  </si>
  <si>
    <t xml:space="preserve">Business</t>
  </si>
  <si>
    <t xml:space="preserve">Blended (weighted average)</t>
  </si>
  <si>
    <t xml:space="preserve">Share of stores must add up to 100%</t>
  </si>
  <si>
    <t xml:space="preserve">SMS (shared platform account)</t>
  </si>
  <si>
    <t xml:space="preserve">Price per SMS</t>
  </si>
  <si>
    <t xml:space="preserve">৳ per SMS part</t>
  </si>
  <si>
    <t xml:space="preserve">SMS parts per message (Bangla averages more)</t>
  </si>
  <si>
    <t xml:space="preserve">parts</t>
  </si>
  <si>
    <t xml:space="preserve">A Bangla SMS holds about 70 characters, so longer messages bill as 2-3 parts. Guess</t>
  </si>
  <si>
    <t xml:space="preserve">Share of stores using their own SMS account</t>
  </si>
  <si>
    <t xml:space="preserve">% of stores</t>
  </si>
  <si>
    <t xml:space="preserve">You: both options. These stores cost you nothing for SMS. Guess</t>
  </si>
  <si>
    <t xml:space="preserve">Email (recommended: Amazon SES)</t>
  </si>
  <si>
    <t xml:space="preserve">Emails per store per month</t>
  </si>
  <si>
    <t xml:space="preserve">emails</t>
  </si>
  <si>
    <t xml:space="preserve">Sign-in codes, order and staff emails. Guess</t>
  </si>
  <si>
    <t xml:space="preserve">Amazon SES price per 1,000 emails</t>
  </si>
  <si>
    <t xml:space="preserve">US$</t>
  </si>
  <si>
    <t xml:space="preserve">À la carte rate (CarlyEmail, checked against AWS on 2 Oct 2026)</t>
  </si>
  <si>
    <t xml:space="preserve">Hosting usage (overage beyond plan allowances)</t>
  </si>
  <si>
    <t xml:space="preserve">Image storage per store</t>
  </si>
  <si>
    <t xml:space="preserve">GB</t>
  </si>
  <si>
    <t xml:space="preserve">Guess. Check Supabase usage after month 1</t>
  </si>
  <si>
    <t xml:space="preserve">Supabase storage included</t>
  </si>
  <si>
    <t xml:space="preserve">Supabase Pro (Focus Reactive, Oct 2026)</t>
  </si>
  <si>
    <t xml:space="preserve">Supabase storage overage</t>
  </si>
  <si>
    <t xml:space="preserve">US$ per GB</t>
  </si>
  <si>
    <t xml:space="preserve">Focus Reactive, Oct 2026</t>
  </si>
  <si>
    <t xml:space="preserve">Database size per store</t>
  </si>
  <si>
    <t xml:space="preserve">Guess (about 20 MB)</t>
  </si>
  <si>
    <t xml:space="preserve">Supabase database included</t>
  </si>
  <si>
    <t xml:space="preserve">Supabase database overage</t>
  </si>
  <si>
    <t xml:space="preserve">Supabase disk rate, check pricing page</t>
  </si>
  <si>
    <t xml:space="preserve">Vercel usage per store</t>
  </si>
  <si>
    <t xml:space="preserve">Guess: functions, CPU, images. Check Vercel usage page after month 1</t>
  </si>
  <si>
    <t xml:space="preserve">Vercel usage credit per seat</t>
  </si>
  <si>
    <t xml:space="preserve">Vercel Pro includes US$20 usage credit per seat (MakerKit, May 2026)</t>
  </si>
  <si>
    <t xml:space="preserve">Supabase: stores before upgrading to Small compute</t>
  </si>
  <si>
    <t xml:space="preserve">stores</t>
  </si>
  <si>
    <t xml:space="preserve">Guess</t>
  </si>
  <si>
    <t xml:space="preserve">Small compute extra cost</t>
  </si>
  <si>
    <t xml:space="preserve">Small minus the US$10 credit. Check pricing page</t>
  </si>
  <si>
    <t xml:space="preserve">Supabase: stores before upgrading to Medium compute</t>
  </si>
  <si>
    <t xml:space="preserve">Medium compute extra cost</t>
  </si>
  <si>
    <t xml:space="preserve">Medium minus the US$10 credit. Check pricing page</t>
  </si>
  <si>
    <t xml:space="preserve">Not included: VAT (you said no VAT), marketing spend (see the strategy doc), founding-merchant discounts, AI and WhatsApp costs (not live yet).</t>
  </si>
  <si>
    <t xml:space="preserve">Monthly profit and loss by number of paying stores (৳)</t>
  </si>
  <si>
    <t xml:space="preserve">Change store counts in row 4 (blue). Everything else is calculated from the Inputs tab.</t>
  </si>
  <si>
    <t xml:space="preserve">Paying stores</t>
  </si>
  <si>
    <t xml:space="preserve">Revenue</t>
  </si>
  <si>
    <t xml:space="preserve">Subscription revenue</t>
  </si>
  <si>
    <t xml:space="preserve">bKash cash-out charge</t>
  </si>
  <si>
    <t xml:space="preserve">Net revenue</t>
  </si>
  <si>
    <t xml:space="preserve">Fixed costs</t>
  </si>
  <si>
    <t xml:space="preserve">Vercel Pro</t>
  </si>
  <si>
    <t xml:space="preserve">Supabase Pro</t>
  </si>
  <si>
    <t xml:space="preserve">Domains (yearly ÷ 12)</t>
  </si>
  <si>
    <t xml:space="preserve">Business admin</t>
  </si>
  <si>
    <t xml:space="preserve">Team salaries</t>
  </si>
  <si>
    <t xml:space="preserve">Total fixed costs</t>
  </si>
  <si>
    <t xml:space="preserve">Variable costs (grow with stores)</t>
  </si>
  <si>
    <t xml:space="preserve">SMS (shared account)</t>
  </si>
  <si>
    <t xml:space="preserve">Email (Amazon SES)</t>
  </si>
  <si>
    <t xml:space="preserve">Vercel usage beyond credit</t>
  </si>
  <si>
    <t xml:space="preserve">Supabase compute upgrade</t>
  </si>
  <si>
    <t xml:space="preserve">Total variable costs</t>
  </si>
  <si>
    <t xml:space="preserve">Result</t>
  </si>
  <si>
    <t xml:space="preserve">Total costs</t>
  </si>
  <si>
    <t xml:space="preserve">Profit before marketing</t>
  </si>
  <si>
    <t xml:space="preserve">Profit margin</t>
  </si>
  <si>
    <t xml:space="preserve">Cost per store</t>
  </si>
  <si>
    <t xml:space="preserve">SMS as a share of all costs</t>
  </si>
  <si>
    <t xml:space="preserve">Break-even: paying stores needed to cover fixed costs</t>
  </si>
  <si>
    <t xml:space="preserve">stores, at the blended price and the 20-store cost per store</t>
  </si>
  <si>
    <t xml:space="preserve">Profit here is before marketing spend. Salaries count only if entered on the Inputs tab.</t>
  </si>
  <si>
    <t xml:space="preserve">What each plan earns per store per month (৳)</t>
  </si>
  <si>
    <t xml:space="preserve">Calculated from the Inputs tab. Shows whether each price covers its own costs.</t>
  </si>
  <si>
    <t xml:space="preserve">Price</t>
  </si>
  <si>
    <t xml:space="preserve">SMS cost (after stores on own account)</t>
  </si>
  <si>
    <t xml:space="preserve">Email cost</t>
  </si>
  <si>
    <t xml:space="preserve">Variable cost per store</t>
  </si>
  <si>
    <t xml:space="preserve">Contribution per store</t>
  </si>
  <si>
    <t xml:space="preserve">Contribution margin</t>
  </si>
  <si>
    <t xml:space="preserve">Share of fixed costs per store, at 100 stores</t>
  </si>
  <si>
    <t xml:space="preserve">Profit per store, at 100 stores</t>
  </si>
  <si>
    <t xml:space="preserve">Stores needed on this plan alone to break even</t>
  </si>
  <si>
    <t xml:space="preserve">Fixed-cost share uses the 100-store column of the Cost Model tab.</t>
  </si>
  <si>
    <t xml:space="preserve">Sources (opened 14 Oct 2026)</t>
  </si>
  <si>
    <t xml:space="preserve">Your answers in chat, 14 Oct 2026</t>
  </si>
  <si>
    <t xml:space="preserve">Vercel, Supabase, SMS price, seats, exchange rate, domains, cash-out charge, tools, VAT</t>
  </si>
  <si>
    <t xml:space="preserve">Amazon SES pricing (CarlyEmail)</t>
  </si>
  <si>
    <t xml:space="preserve">https://www.usecarly.com/blog/amazon-ses-pricing/</t>
  </si>
  <si>
    <t xml:space="preserve">Resend pricing (Automation Atlas)</t>
  </si>
  <si>
    <t xml:space="preserve">https://automationatlas.io/answers/resend-pricing-explained-2026/</t>
  </si>
  <si>
    <t xml:space="preserve">Supabase pricing (Focus Reactive)</t>
  </si>
  <si>
    <t xml:space="preserve">https://focusreactive.com/blog/supabase-price/</t>
  </si>
  <si>
    <t xml:space="preserve">Vercel cost 2026 (MakerKit)</t>
  </si>
  <si>
    <t xml:space="preserve">https://makerkit.dev/blog/saas/vercel-cost</t>
  </si>
  <si>
    <t xml:space="preserve">Arafat Labs: Facebook ads cost Bangladesh 2026</t>
  </si>
  <si>
    <t xml:space="preserve">https://arafatlabs.com/blog/facebook-ads-cost-bangladesh-2026-benchmarks</t>
  </si>
  <si>
    <t xml:space="preserve">KuiperZ: Bangladesh Facebook ads 2025 benchmarks</t>
  </si>
  <si>
    <t xml:space="preserve">https://kuiperz.io/blog/bangladesh-facebook-ads-2025-cost-benchmarks-ctr-cpa-ranges-and-a-simple-budget-calculator/</t>
  </si>
  <si>
    <t xml:space="preserve">Flint: B2B SaaS free trial conversion statistics (Apr 2026)</t>
  </si>
  <si>
    <t xml:space="preserve">https://www.flint.com/blog/b2b-saas-free-trial-conversion-rate-statistics</t>
  </si>
  <si>
    <t xml:space="preserve">Google Search CPC</t>
  </si>
  <si>
    <t xml:space="preserve">No published Bangladesh figure found; ৳25 is an estimate. Check Google Keyword Planner</t>
  </si>
  <si>
    <t xml:space="preserve">Ad benchmarks and funnel rates (Bangladesh, ৳)</t>
  </si>
  <si>
    <t xml:space="preserve">Blue = input, yellow = estimate to replace with your own ad results after 2-4 weeks. Black = calculated.</t>
  </si>
  <si>
    <t xml:space="preserve">Channel</t>
  </si>
  <si>
    <t xml:space="preserve">Meta prospecting</t>
  </si>
  <si>
    <t xml:space="preserve">Meta retargeting</t>
  </si>
  <si>
    <t xml:space="preserve">Google Search</t>
  </si>
  <si>
    <t xml:space="preserve">YouTube awareness</t>
  </si>
  <si>
    <t xml:space="preserve">Share of ad budget</t>
  </si>
  <si>
    <t xml:space="preserve">must equal 100%</t>
  </si>
  <si>
    <t xml:space="preserve">CPM (cost per 1,000 impressions)</t>
  </si>
  <si>
    <t xml:space="preserve">Meta: Arafat Labs 2026 B2B/SaaS CPM ৳300-450, market ৳180-250. YouTube CPM is an estimate</t>
  </si>
  <si>
    <t xml:space="preserve">CTR (click-through rate)</t>
  </si>
  <si>
    <t xml:space="preserve">KuiperZ 2025: 1-4% typical, &gt;2% strong cold, ~5% remarketing. Search 5% is an estimate</t>
  </si>
  <si>
    <t xml:space="preserve">CPC (cost per click)</t>
  </si>
  <si>
    <t xml:space="preserve">Google Search CPC ৳25 is an ESTIMATE (no published BD figure found). Check Google Keyword Planner</t>
  </si>
  <si>
    <t xml:space="preserve">Click → trial sign-up</t>
  </si>
  <si>
    <t xml:space="preserve">KuiperZ: B2B ~1%, warm ~5%; Flint 2026: paid visitor-to-trial 7.1%. YouTube = awareness only</t>
  </si>
  <si>
    <t xml:space="preserve">Trial → paid</t>
  </si>
  <si>
    <t xml:space="preserve">Flint 2026: no-card trial-to-paid 17.4% from paid traffic; 15% used as the base</t>
  </si>
  <si>
    <t xml:space="preserve">Cost per trial (CPL)</t>
  </si>
  <si>
    <t xml:space="preserve">Arafat Labs: B2B/SaaS cost per lead ৳400-1,200, so Meta prospecting sits in range</t>
  </si>
  <si>
    <t xml:space="preserve">Cost per paid store (CAC)</t>
  </si>
  <si>
    <t xml:space="preserve">First-month ROAS</t>
  </si>
  <si>
    <t xml:space="preserve">Revenue in the first paid month ÷ cost to win that store. SaaS earns it back over many months</t>
  </si>
  <si>
    <t xml:space="preserve">Other forecast inputs</t>
  </si>
  <si>
    <t xml:space="preserve">Ad performance factor (scenario)</t>
  </si>
  <si>
    <t xml:space="preserve">100% = base. Try 70% (bad case) or 130% (good case); scales every ad sign-up</t>
  </si>
  <si>
    <t xml:space="preserve">Organic, partner and referral trial → paid</t>
  </si>
  <si>
    <t xml:space="preserve">Warmer leads convert better than ads. Estimate</t>
  </si>
  <si>
    <t xml:space="preserve">Monthly churn (paying stores that leave)</t>
  </si>
  <si>
    <t xml:space="preserve">Target from the strategy doc. Small-business SaaS often runs 3-7%</t>
  </si>
  <si>
    <t xml:space="preserve">Partner and referral commission</t>
  </si>
  <si>
    <t xml:space="preserve">Share of total revenue paid to agencies and referrers. Estimate</t>
  </si>
  <si>
    <t xml:space="preserve">Revenue per paid store over its first 12 months</t>
  </si>
  <si>
    <t xml:space="preserve">Price × expected months stayed in year one, after churn</t>
  </si>
  <si>
    <t xml:space="preserve">Lifetime contribution per store (LTV)</t>
  </si>
  <si>
    <t xml:space="preserve">(Price - cash-out - SMS - email) ÷ churn</t>
  </si>
  <si>
    <t xml:space="preserve">Contribution per store per month</t>
  </si>
  <si>
    <t xml:space="preserve">Suggested marketing budget by month (৳)</t>
  </si>
  <si>
    <t xml:space="preserve">Blue rows are your budget. Change them and the Forecast and Summary tabs update.</t>
  </si>
  <si>
    <t xml:space="preserve">Month</t>
  </si>
  <si>
    <t xml:space="preserve">Nov 2026</t>
  </si>
  <si>
    <t xml:space="preserve">Dec 2026</t>
  </si>
  <si>
    <t xml:space="preserve">Jan 2027</t>
  </si>
  <si>
    <t xml:space="preserve">Feb 2027</t>
  </si>
  <si>
    <t xml:space="preserve">Mar 2027</t>
  </si>
  <si>
    <t xml:space="preserve">Apr 2027</t>
  </si>
  <si>
    <t xml:space="preserve">May 2027</t>
  </si>
  <si>
    <t xml:space="preserve">Jun 2027</t>
  </si>
  <si>
    <t xml:space="preserve">Jul 2027</t>
  </si>
  <si>
    <t xml:space="preserve">Aug 2027</t>
  </si>
  <si>
    <t xml:space="preserve">Sep 2027</t>
  </si>
  <si>
    <t xml:space="preserve">Oct 2027</t>
  </si>
  <si>
    <t xml:space="preserve">12-month total</t>
  </si>
  <si>
    <t xml:space="preserve">Why</t>
  </si>
  <si>
    <t xml:space="preserve">Paid ads</t>
  </si>
  <si>
    <t xml:space="preserve">Total ad budget</t>
  </si>
  <si>
    <t xml:space="preserve">Small tests first; peaks before Eid-ul-Fitr (Feb) and Eid-ul-Adha (May); grows once CAC is proven</t>
  </si>
  <si>
    <t xml:space="preserve">  Meta prospecting</t>
  </si>
  <si>
    <t xml:space="preserve">  Meta retargeting</t>
  </si>
  <si>
    <t xml:space="preserve">  Google Search</t>
  </si>
  <si>
    <t xml:space="preserve">  YouTube awareness</t>
  </si>
  <si>
    <t xml:space="preserve">Other marketing</t>
  </si>
  <si>
    <t xml:space="preserve">Content production (designer, video editor)</t>
  </si>
  <si>
    <t xml:space="preserve">Freelance designer and editor for posts and short videos</t>
  </si>
  <si>
    <t xml:space="preserve">Tools (Canva Pro, scheduling)</t>
  </si>
  <si>
    <t xml:space="preserve">Estimate</t>
  </si>
  <si>
    <t xml:space="preserve">Creators and seller influencers</t>
  </si>
  <si>
    <t xml:space="preserve">Micro-creators who teach online selling, from January</t>
  </si>
  <si>
    <t xml:space="preserve">Events, pop-up desks, challenge prizes</t>
  </si>
  <si>
    <t xml:space="preserve">Eid Ready challenge (Feb), wholesale-market desks</t>
  </si>
  <si>
    <t xml:space="preserve">Founding-merchant discounts</t>
  </si>
  <si>
    <r>
      <rPr>
        <sz val="11"/>
        <color theme="1"/>
        <rFont val="Calibri"/>
        <family val="2"/>
        <charset val="1"/>
      </rPr>
      <t xml:space="preserve">20 stores × </t>
    </r>
    <r>
      <rPr>
        <sz val="11"/>
        <color theme="1"/>
        <rFont val="FreeSans"/>
        <family val="2"/>
      </rPr>
      <t xml:space="preserve">৳</t>
    </r>
    <r>
      <rPr>
        <sz val="11"/>
        <color theme="1"/>
        <rFont val="Calibri"/>
        <family val="2"/>
        <charset val="1"/>
      </rPr>
      <t xml:space="preserve">699 × 50% for the first months</t>
    </r>
  </si>
  <si>
    <t xml:space="preserve">Partner and referral commissions</t>
  </si>
  <si>
    <t xml:space="preserve">Calculated: % of revenue (Ad Benchmarks tab)</t>
  </si>
  <si>
    <t xml:space="preserve">Meta total (prospecting + retargeting)</t>
  </si>
  <si>
    <t xml:space="preserve">Google total (Search + YouTube)</t>
  </si>
  <si>
    <t xml:space="preserve">12-month forecast: ads → trials → paying stores → profit (৳)</t>
  </si>
  <si>
    <t xml:space="preserve">Trials convert to paid the month after sign-up (14-day trial). Salaries are included only if entered on the Inputs tab.</t>
  </si>
  <si>
    <t xml:space="preserve">Reach and traffic (paid ads)</t>
  </si>
  <si>
    <t xml:space="preserve">Ad spend</t>
  </si>
  <si>
    <t xml:space="preserve">Trial sign-ups</t>
  </si>
  <si>
    <t xml:space="preserve">From Meta prospecting</t>
  </si>
  <si>
    <t xml:space="preserve">From Meta retargeting</t>
  </si>
  <si>
    <t xml:space="preserve">From Google Search</t>
  </si>
  <si>
    <t xml:space="preserve">Organic, partner and referral (your target)</t>
  </si>
  <si>
    <t xml:space="preserve">Total trial sign-ups</t>
  </si>
  <si>
    <t xml:space="preserve">New paying stores from ads</t>
  </si>
  <si>
    <t xml:space="preserve">New paying stores from organic and partners</t>
  </si>
  <si>
    <t xml:space="preserve">Stores that cancel (churn)</t>
  </si>
  <si>
    <t xml:space="preserve">Net new paying stores</t>
  </si>
  <si>
    <t xml:space="preserve">Paying stores at month end</t>
  </si>
  <si>
    <t xml:space="preserve">MRR at month end (monthly recurring revenue)</t>
  </si>
  <si>
    <t xml:space="preserve">Costs</t>
  </si>
  <si>
    <t xml:space="preserve">Platform fixed costs (incl. salaries if entered)</t>
  </si>
  <si>
    <t xml:space="preserve">SMS and email (paying stores)</t>
  </si>
  <si>
    <t xml:space="preserve">Marketing spend (all)</t>
  </si>
  <si>
    <t xml:space="preserve">Profit or loss this month</t>
  </si>
  <si>
    <t xml:space="preserve">Cumulative profit or loss (cash position)</t>
  </si>
  <si>
    <t xml:space="preserve">Return metrics</t>
  </si>
  <si>
    <t xml:space="preserve">CAC from ads (ad spend ÷ paying stores won)</t>
  </si>
  <si>
    <t xml:space="preserve">CAC all-in (all marketing ÷ all paying stores won)</t>
  </si>
  <si>
    <t xml:space="preserve">ROAS, 12-month value of stores won</t>
  </si>
  <si>
    <t xml:space="preserve">Months to earn back CAC (payback)</t>
  </si>
  <si>
    <t xml:space="preserve">Marketing ROI, cumulative (profit ÷ marketing spent)</t>
  </si>
  <si>
    <t xml:space="preserve">Profitable this month? (1 = yes)</t>
  </si>
  <si>
    <t xml:space="preserve">Cash back above zero? (1 = yes)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</si>
</sst>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\৳#,##0;&quot;(৳&quot;#,##0\);\-"/>
    <numFmt numFmtId="166" formatCode="#,##0;\(#,##0\);\-"/>
    <numFmt numFmtId="167" formatCode="\৳#,##0.00;&quot;(৳&quot;#,##0.00\);\-"/>
    <numFmt numFmtId="168" formatCode="0.00%"/>
    <numFmt numFmtId="169" formatCode="0.0%;\(0.0%\);\-"/>
    <numFmt numFmtId="170" formatCode="0.00\x"/>
    <numFmt numFmtId="171" formatCode="0.0\x"/>
    <numFmt numFmtId="172" formatCode="0.0"/>
    <numFmt numFmtId="173" formatCode="@"/>
    <numFmt numFmtId="174" formatCode="\$#,##0.00;&quot;($&quot;#,##0.00\);\-"/>
    <numFmt numFmtId="175" formatCode="#,##0.00;\(#,##0.00\);\-"/>
    <numFmt numFmtId="176" formatCode="\$#,##0.000"/>
    <numFmt numFmtId="177" formatCode="#,##0.0"/>
    <numFmt numFmtId="178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theme="1"/>
      <name val="FreeSans"/>
      <family val="2"/>
    </font>
    <font>
      <sz val="11"/>
      <color rgb="FF99999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A4E"/>
        <bgColor rgb="FF333333"/>
      </patternFill>
    </fill>
    <fill>
      <patternFill patternType="solid">
        <fgColor rgb="FFEEEEF7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1A1A4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4"/>
    <col collapsed="false" customWidth="true" hidden="false" outlineLevel="0" max="4" min="4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/>
      <c r="C5" s="5"/>
      <c r="D5" s="5"/>
    </row>
    <row r="6" customFormat="false" ht="15" hidden="false" customHeight="false" outlineLevel="0" collapsed="false">
      <c r="A6" s="6" t="s">
        <v>7</v>
      </c>
      <c r="B6" s="7" t="n">
        <f aca="false">SUM(Forecast!B31:G31)</f>
        <v>514334.720064025</v>
      </c>
      <c r="C6" s="7" t="n">
        <f aca="false">SUM(Forecast!B31:M31)</f>
        <v>1382699.48900016</v>
      </c>
      <c r="D6" s="6" t="s">
        <v>8</v>
      </c>
    </row>
    <row r="7" customFormat="false" ht="15" hidden="false" customHeight="false" outlineLevel="0" collapsed="false">
      <c r="A7" s="6" t="s">
        <v>9</v>
      </c>
      <c r="B7" s="7" t="n">
        <f aca="false">SUM('Marketing Budget'!B19:G19)</f>
        <v>196000</v>
      </c>
      <c r="C7" s="7" t="n">
        <f aca="false">'Marketing Budget'!N19</f>
        <v>595000</v>
      </c>
      <c r="D7" s="6" t="s">
        <v>10</v>
      </c>
    </row>
    <row r="8" customFormat="false" ht="15" hidden="false" customHeight="false" outlineLevel="0" collapsed="false">
      <c r="A8" s="6" t="s">
        <v>11</v>
      </c>
      <c r="B8" s="7" t="n">
        <f aca="false">SUM('Marketing Budget'!B20:G20)</f>
        <v>84000</v>
      </c>
      <c r="C8" s="7" t="n">
        <f aca="false">'Marketing Budget'!N20</f>
        <v>255000</v>
      </c>
      <c r="D8" s="6" t="s">
        <v>12</v>
      </c>
    </row>
    <row r="9" customFormat="false" ht="15" hidden="false" customHeight="false" outlineLevel="0" collapsed="false">
      <c r="A9" s="6" t="s">
        <v>13</v>
      </c>
      <c r="B9" s="7" t="n">
        <f aca="false">SUM(Forecast!B28:G28)+SUM(Forecast!B29:G29)+SUM(Forecast!B30:G30)</f>
        <v>89009.1645356351</v>
      </c>
      <c r="C9" s="7" t="n">
        <f aca="false">SUM(Forecast!B28:M28)+SUM(Forecast!B29:M29)+SUM(Forecast!B30:M30)</f>
        <v>343727.68371171</v>
      </c>
      <c r="D9" s="6" t="s">
        <v>14</v>
      </c>
    </row>
    <row r="10" customFormat="false" ht="15" hidden="false" customHeight="false" outlineLevel="0" collapsed="false">
      <c r="A10" s="8" t="s">
        <v>15</v>
      </c>
      <c r="B10" s="9" t="n">
        <f aca="false">B6+B9</f>
        <v>603343.88459966</v>
      </c>
      <c r="C10" s="9" t="n">
        <f aca="false">C6+C9</f>
        <v>1726427.17271187</v>
      </c>
      <c r="D10" s="10" t="s">
        <v>16</v>
      </c>
    </row>
    <row r="11" customFormat="false" ht="15" hidden="false" customHeight="false" outlineLevel="0" collapsed="false">
      <c r="A11" s="4" t="s">
        <v>17</v>
      </c>
      <c r="B11" s="5"/>
      <c r="C11" s="5"/>
      <c r="D11" s="5"/>
    </row>
    <row r="12" customFormat="false" ht="15" hidden="false" customHeight="false" outlineLevel="0" collapsed="false">
      <c r="A12" s="6" t="s">
        <v>18</v>
      </c>
      <c r="B12" s="11" t="n">
        <f aca="false">SUM(Forecast!B7:G7)</f>
        <v>757333.333333333</v>
      </c>
      <c r="C12" s="11" t="n">
        <f aca="false">SUM(Forecast!B7:M7)</f>
        <v>2299047.61904762</v>
      </c>
      <c r="D12" s="6" t="s">
        <v>19</v>
      </c>
    </row>
    <row r="13" customFormat="false" ht="15" hidden="false" customHeight="false" outlineLevel="0" collapsed="false">
      <c r="A13" s="6" t="s">
        <v>20</v>
      </c>
      <c r="B13" s="11" t="n">
        <f aca="false">SUM(Forecast!B8:G8)</f>
        <v>14906.6666666667</v>
      </c>
      <c r="C13" s="11" t="n">
        <f aca="false">SUM(Forecast!B8:M8)</f>
        <v>45252.380952381</v>
      </c>
      <c r="D13" s="6"/>
    </row>
    <row r="14" customFormat="false" ht="15" hidden="false" customHeight="false" outlineLevel="0" collapsed="false">
      <c r="A14" s="6" t="s">
        <v>21</v>
      </c>
      <c r="B14" s="7" t="n">
        <f aca="false">IFERROR(SUM(Forecast!B6:G6)/B12*1000,0)</f>
        <v>369.718309859155</v>
      </c>
      <c r="C14" s="7" t="n">
        <f aca="false">IFERROR(SUM(Forecast!B6:M6)/C12*1000,0)</f>
        <v>369.718309859155</v>
      </c>
      <c r="D14" s="6" t="s">
        <v>22</v>
      </c>
    </row>
    <row r="15" customFormat="false" ht="15" hidden="false" customHeight="false" outlineLevel="0" collapsed="false">
      <c r="A15" s="6" t="s">
        <v>23</v>
      </c>
      <c r="B15" s="12" t="n">
        <f aca="false">IFERROR(SUM(Forecast!B6:G6)/B13,0)</f>
        <v>18.783542039356</v>
      </c>
      <c r="C15" s="12" t="n">
        <f aca="false">IFERROR(SUM(Forecast!B6:M6)/C13,0)</f>
        <v>18.783542039356</v>
      </c>
      <c r="D15" s="6" t="s">
        <v>24</v>
      </c>
    </row>
    <row r="16" customFormat="false" ht="15" hidden="false" customHeight="false" outlineLevel="0" collapsed="false">
      <c r="A16" s="6" t="s">
        <v>25</v>
      </c>
      <c r="B16" s="13" t="n">
        <f aca="false">IFERROR(B13/B12,0)</f>
        <v>0.0196830985915493</v>
      </c>
      <c r="C16" s="13" t="n">
        <f aca="false">IFERROR(C13/C12,0)</f>
        <v>0.0196830985915493</v>
      </c>
      <c r="D16" s="6" t="s">
        <v>26</v>
      </c>
    </row>
    <row r="17" customFormat="false" ht="15" hidden="false" customHeight="false" outlineLevel="0" collapsed="false">
      <c r="A17" s="6" t="s">
        <v>27</v>
      </c>
      <c r="B17" s="11" t="n">
        <f aca="false">SUM(Forecast!B17:G17)</f>
        <v>999.2</v>
      </c>
      <c r="C17" s="11" t="n">
        <f aca="false">SUM(Forecast!B17:M17)</f>
        <v>3025.07142857143</v>
      </c>
      <c r="D17" s="6"/>
    </row>
    <row r="18" customFormat="false" ht="15" hidden="false" customHeight="false" outlineLevel="0" collapsed="false">
      <c r="A18" s="6" t="s">
        <v>28</v>
      </c>
      <c r="B18" s="7" t="n">
        <f aca="false">IFERROR(SUM(Forecast!B6:G6)/SUM(Forecast!B13:G15),0)</f>
        <v>364.014560582423</v>
      </c>
      <c r="C18" s="7" t="n">
        <f aca="false">IFERROR(SUM(Forecast!B6:M6)/SUM(Forecast!B13:M15),0)</f>
        <v>364.014560582423</v>
      </c>
      <c r="D18" s="6" t="s">
        <v>29</v>
      </c>
    </row>
    <row r="19" customFormat="false" ht="15" hidden="false" customHeight="false" outlineLevel="0" collapsed="false">
      <c r="A19" s="4" t="s">
        <v>30</v>
      </c>
      <c r="B19" s="5"/>
      <c r="C19" s="5"/>
      <c r="D19" s="5"/>
    </row>
    <row r="20" customFormat="false" ht="15" hidden="false" customHeight="false" outlineLevel="0" collapsed="false">
      <c r="A20" s="6" t="s">
        <v>31</v>
      </c>
      <c r="B20" s="11" t="n">
        <f aca="false">SUM(Forecast!B20:G20)+SUM(Forecast!B21:G21)</f>
        <v>142.255714285714</v>
      </c>
      <c r="C20" s="11" t="n">
        <f aca="false">SUM(Forecast!B20:M20)+SUM(Forecast!B21:M21)</f>
        <v>470.212142857143</v>
      </c>
      <c r="D20" s="6"/>
    </row>
    <row r="21" customFormat="false" ht="15" hidden="false" customHeight="false" outlineLevel="0" collapsed="false">
      <c r="A21" s="8" t="s">
        <v>32</v>
      </c>
      <c r="B21" s="14" t="n">
        <f aca="false">Forecast!G24</f>
        <v>134.254460335543</v>
      </c>
      <c r="C21" s="14" t="n">
        <f aca="false">Forecast!M24</f>
        <v>405.897090291506</v>
      </c>
      <c r="D21" s="10" t="s">
        <v>33</v>
      </c>
    </row>
    <row r="22" customFormat="false" ht="15" hidden="false" customHeight="false" outlineLevel="0" collapsed="false">
      <c r="A22" s="8" t="s">
        <v>34</v>
      </c>
      <c r="B22" s="9" t="n">
        <f aca="false">Forecast!G26</f>
        <v>163656.187149027</v>
      </c>
      <c r="C22" s="9" t="n">
        <f aca="false">Forecast!M26</f>
        <v>494788.553065346</v>
      </c>
      <c r="D22" s="10" t="s">
        <v>35</v>
      </c>
    </row>
    <row r="23" customFormat="false" ht="15" hidden="false" customHeight="false" outlineLevel="0" collapsed="false">
      <c r="A23" s="6" t="s">
        <v>36</v>
      </c>
      <c r="B23" s="7" t="n">
        <f aca="false">B22*12</f>
        <v>1963874.24578832</v>
      </c>
      <c r="C23" s="7" t="n">
        <f aca="false">C22*12</f>
        <v>5937462.63678415</v>
      </c>
      <c r="D23" s="6" t="s">
        <v>37</v>
      </c>
    </row>
    <row r="24" customFormat="false" ht="15" hidden="false" customHeight="false" outlineLevel="0" collapsed="false">
      <c r="A24" s="4" t="s">
        <v>38</v>
      </c>
      <c r="B24" s="5"/>
      <c r="C24" s="5"/>
      <c r="D24" s="5"/>
    </row>
    <row r="25" customFormat="false" ht="15" hidden="false" customHeight="false" outlineLevel="0" collapsed="false">
      <c r="A25" s="6" t="s">
        <v>39</v>
      </c>
      <c r="B25" s="7" t="n">
        <f aca="false">SUM(Forecast!B25:G25)</f>
        <v>407494.401280501</v>
      </c>
      <c r="C25" s="7" t="n">
        <f aca="false">SUM(Forecast!B25:M25)</f>
        <v>2454789.78000312</v>
      </c>
      <c r="D25" s="6"/>
    </row>
    <row r="26" customFormat="false" ht="15" hidden="false" customHeight="false" outlineLevel="0" collapsed="false">
      <c r="A26" s="8" t="s">
        <v>40</v>
      </c>
      <c r="B26" s="9" t="n">
        <f aca="false">B25-B10</f>
        <v>-195849.483319159</v>
      </c>
      <c r="C26" s="9" t="n">
        <f aca="false">C25-C10</f>
        <v>728362.607291255</v>
      </c>
      <c r="D26" s="10" t="s">
        <v>41</v>
      </c>
    </row>
    <row r="27" customFormat="false" ht="15" hidden="false" customHeight="false" outlineLevel="0" collapsed="false">
      <c r="A27" s="8" t="s">
        <v>42</v>
      </c>
      <c r="B27" s="9" t="n">
        <f aca="false">-MIN(Forecast!B35:G35)</f>
        <v>230845.395442633</v>
      </c>
      <c r="C27" s="9" t="n">
        <f aca="false">-MIN(Forecast!B35:M35)</f>
        <v>230845.395442633</v>
      </c>
      <c r="D27" s="10" t="s">
        <v>43</v>
      </c>
    </row>
    <row r="28" customFormat="false" ht="15" hidden="false" customHeight="false" outlineLevel="0" collapsed="false">
      <c r="A28" s="6" t="s">
        <v>44</v>
      </c>
      <c r="B28" s="15" t="n">
        <f aca="false">IFERROR(B26/B6,0)</f>
        <v>-0.380782155431349</v>
      </c>
      <c r="C28" s="15" t="n">
        <f aca="false">IFERROR(C26/C6,0)</f>
        <v>0.526768551724816</v>
      </c>
      <c r="D28" s="6" t="s">
        <v>45</v>
      </c>
    </row>
    <row r="29" customFormat="false" ht="15" hidden="false" customHeight="false" outlineLevel="0" collapsed="false">
      <c r="A29" s="6" t="s">
        <v>46</v>
      </c>
      <c r="B29" s="16" t="n">
        <f aca="false">IFERROR(SUMPRODUCT(Forecast!B13:G13*'Ad Benchmarks'!$B$10+Forecast!B14:G14*'Ad Benchmarks'!$C$10+Forecast!B15:G15*'Ad Benchmarks'!$D$10)*Inputs!$B$22/SUM(Forecast!B6:G6),0)</f>
        <v>0.538885071428571</v>
      </c>
      <c r="C29" s="16" t="n">
        <f aca="false">Forecast!N39</f>
        <v>0.538885071428571</v>
      </c>
      <c r="D29" s="6" t="s">
        <v>47</v>
      </c>
    </row>
    <row r="30" customFormat="false" ht="15" hidden="false" customHeight="false" outlineLevel="0" collapsed="false">
      <c r="A30" s="6" t="s">
        <v>48</v>
      </c>
      <c r="B30" s="16" t="n">
        <f aca="false">IFERROR(SUMPRODUCT(Forecast!B13:G13*'Ad Benchmarks'!$B$10+Forecast!B14:G14*'Ad Benchmarks'!$C$10+Forecast!B15:G15*'Ad Benchmarks'!$D$10)*'Ad Benchmarks'!$B$20/SUM(Forecast!B6:G6),0)</f>
        <v>5.21762325212343</v>
      </c>
      <c r="C30" s="16" t="n">
        <f aca="false">Forecast!N40</f>
        <v>5.21762325212343</v>
      </c>
      <c r="D30" s="6" t="s">
        <v>49</v>
      </c>
    </row>
    <row r="31" customFormat="false" ht="15" hidden="false" customHeight="false" outlineLevel="0" collapsed="false">
      <c r="A31" s="6" t="s">
        <v>50</v>
      </c>
      <c r="B31" s="7" t="n">
        <f aca="false">IFERROR(SUM(Forecast!B6:G6)/SUMPRODUCT(Forecast!B13:G13*'Ad Benchmarks'!$B$10+Forecast!B14:G14*'Ad Benchmarks'!$C$10+Forecast!B15:G15*'Ad Benchmarks'!$D$10),0)</f>
        <v>2262.07788010987</v>
      </c>
      <c r="C31" s="7" t="n">
        <f aca="false">Forecast!N37</f>
        <v>2262.07788010987</v>
      </c>
      <c r="D31" s="6" t="s">
        <v>51</v>
      </c>
    </row>
    <row r="32" customFormat="false" ht="15" hidden="false" customHeight="false" outlineLevel="0" collapsed="false">
      <c r="A32" s="6" t="s">
        <v>52</v>
      </c>
      <c r="B32" s="7" t="n">
        <f aca="false">IFERROR(B6/(SUMPRODUCT(Forecast!B13:G13*'Ad Benchmarks'!$B$10+Forecast!B14:G14*'Ad Benchmarks'!$C$10+Forecast!B15:G15*'Ad Benchmarks'!$D$10)+SUM(Forecast!B16:G16)*'Ad Benchmarks'!$B$17),0)</f>
        <v>2837.23918834965</v>
      </c>
      <c r="C32" s="7" t="n">
        <f aca="false">Forecast!N38</f>
        <v>2521.97440555551</v>
      </c>
      <c r="D32" s="6" t="s">
        <v>53</v>
      </c>
    </row>
    <row r="33" customFormat="false" ht="15" hidden="false" customHeight="false" outlineLevel="0" collapsed="false">
      <c r="A33" s="6" t="s">
        <v>54</v>
      </c>
      <c r="B33" s="17" t="n">
        <f aca="false">IFERROR('Ad Benchmarks'!$B$21/B32,0)</f>
        <v>9.6556408118468</v>
      </c>
      <c r="C33" s="17" t="n">
        <f aca="false">IFERROR('Ad Benchmarks'!$B$21/C32,0)</f>
        <v>10.862664759663</v>
      </c>
      <c r="D33" s="6" t="s">
        <v>55</v>
      </c>
    </row>
    <row r="34" customFormat="false" ht="15" hidden="false" customHeight="false" outlineLevel="0" collapsed="false">
      <c r="A34" s="6" t="s">
        <v>56</v>
      </c>
      <c r="B34" s="18" t="n">
        <f aca="false">IFERROR(B32/'Ad Benchmarks'!$B$22,0)</f>
        <v>2.58916010725324</v>
      </c>
      <c r="C34" s="18" t="n">
        <f aca="false">IFERROR(C32/'Ad Benchmarks'!$B$22,0)</f>
        <v>2.30146106440051</v>
      </c>
      <c r="D34" s="6" t="s">
        <v>57</v>
      </c>
    </row>
    <row r="35" customFormat="false" ht="15" hidden="false" customHeight="false" outlineLevel="0" collapsed="false">
      <c r="A35" s="6" t="s">
        <v>58</v>
      </c>
      <c r="B35" s="19" t="str">
        <f aca="false">IFERROR(INDEX(Forecast!B4:G4,MATCH(1,Forecast!B44:G44,0)),"Not yet")</f>
        <v>Mar 2027</v>
      </c>
      <c r="C35" s="19" t="str">
        <f aca="false">IFERROR(INDEX(Forecast!B4:M4,MATCH(1,Forecast!B44:M44,0)),"Not within 12 months")</f>
        <v>Mar 2027</v>
      </c>
      <c r="D35" s="6" t="s">
        <v>59</v>
      </c>
    </row>
    <row r="36" customFormat="false" ht="15" hidden="false" customHeight="false" outlineLevel="0" collapsed="false">
      <c r="A36" s="6" t="s">
        <v>60</v>
      </c>
      <c r="B36" s="19" t="str">
        <f aca="false">IFERROR(INDEX(Forecast!B4:G4,MATCH(1,Forecast!B45:G45,0)),"Not yet")</f>
        <v>Not yet</v>
      </c>
      <c r="C36" s="19" t="str">
        <f aca="false">IFERROR(INDEX(Forecast!B4:M4,MATCH(1,Forecast!B45:M45,0)),"Not within 12 months")</f>
        <v>Jul 2027</v>
      </c>
      <c r="D36" s="6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6"/>
    <col collapsed="false" customWidth="true" hidden="false" outlineLevel="0" max="4" min="4" style="0" width="24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62</v>
      </c>
      <c r="B1" s="20"/>
      <c r="C1" s="20"/>
      <c r="D1" s="20"/>
      <c r="E1" s="20"/>
    </row>
    <row r="2" customFormat="false" ht="15" hidden="false" customHeight="false" outlineLevel="0" collapsed="false">
      <c r="A2" s="2" t="s">
        <v>63</v>
      </c>
      <c r="B2" s="20"/>
      <c r="C2" s="20"/>
      <c r="D2" s="20"/>
      <c r="E2" s="20"/>
    </row>
    <row r="3" customFormat="false" ht="15" hidden="false" customHeight="false" outlineLevel="0" collapsed="false">
      <c r="A3" s="3" t="s">
        <v>64</v>
      </c>
      <c r="B3" s="3" t="s">
        <v>65</v>
      </c>
      <c r="C3" s="3" t="s">
        <v>66</v>
      </c>
      <c r="D3" s="3"/>
      <c r="E3" s="3" t="s">
        <v>67</v>
      </c>
    </row>
    <row r="4" customFormat="false" ht="15" hidden="false" customHeight="false" outlineLevel="0" collapsed="false">
      <c r="A4" s="4" t="s">
        <v>68</v>
      </c>
      <c r="B4" s="21"/>
      <c r="C4" s="21"/>
      <c r="D4" s="21"/>
      <c r="E4" s="21"/>
    </row>
    <row r="5" customFormat="false" ht="15" hidden="false" customHeight="false" outlineLevel="0" collapsed="false">
      <c r="A5" s="6" t="s">
        <v>69</v>
      </c>
      <c r="B5" s="22" t="n">
        <v>129</v>
      </c>
      <c r="C5" s="6" t="s">
        <v>70</v>
      </c>
      <c r="D5" s="20"/>
      <c r="E5" s="6" t="s">
        <v>71</v>
      </c>
    </row>
    <row r="6" customFormat="false" ht="15" hidden="false" customHeight="false" outlineLevel="0" collapsed="false">
      <c r="A6" s="6" t="s">
        <v>72</v>
      </c>
      <c r="B6" s="23" t="n">
        <v>0.0145</v>
      </c>
      <c r="C6" s="6" t="s">
        <v>73</v>
      </c>
      <c r="D6" s="20"/>
      <c r="E6" s="6" t="s">
        <v>74</v>
      </c>
    </row>
    <row r="7" customFormat="false" ht="15" hidden="false" customHeight="false" outlineLevel="0" collapsed="false">
      <c r="A7" s="20"/>
      <c r="B7" s="20"/>
      <c r="C7" s="20"/>
      <c r="D7" s="20"/>
      <c r="E7" s="20"/>
    </row>
    <row r="8" customFormat="false" ht="15" hidden="false" customHeight="false" outlineLevel="0" collapsed="false">
      <c r="A8" s="4" t="s">
        <v>75</v>
      </c>
      <c r="B8" s="21"/>
      <c r="C8" s="21"/>
      <c r="D8" s="21"/>
      <c r="E8" s="21"/>
    </row>
    <row r="9" customFormat="false" ht="15" hidden="false" customHeight="false" outlineLevel="0" collapsed="false">
      <c r="A9" s="6" t="s">
        <v>76</v>
      </c>
      <c r="B9" s="22" t="n">
        <v>1</v>
      </c>
      <c r="C9" s="6" t="s">
        <v>77</v>
      </c>
      <c r="D9" s="20"/>
      <c r="E9" s="6" t="s">
        <v>74</v>
      </c>
    </row>
    <row r="10" customFormat="false" ht="15" hidden="false" customHeight="false" outlineLevel="0" collapsed="false">
      <c r="A10" s="6" t="s">
        <v>78</v>
      </c>
      <c r="B10" s="24" t="n">
        <v>20</v>
      </c>
      <c r="C10" s="6" t="s">
        <v>79</v>
      </c>
      <c r="D10" s="20"/>
      <c r="E10" s="6" t="s">
        <v>80</v>
      </c>
    </row>
    <row r="11" customFormat="false" ht="15" hidden="false" customHeight="false" outlineLevel="0" collapsed="false">
      <c r="A11" s="6" t="s">
        <v>81</v>
      </c>
      <c r="B11" s="24" t="n">
        <v>25</v>
      </c>
      <c r="C11" s="6" t="s">
        <v>79</v>
      </c>
      <c r="D11" s="20"/>
      <c r="E11" s="6" t="s">
        <v>82</v>
      </c>
    </row>
    <row r="12" customFormat="false" ht="15" hidden="false" customHeight="false" outlineLevel="0" collapsed="false">
      <c r="A12" s="6" t="s">
        <v>83</v>
      </c>
      <c r="B12" s="25" t="n">
        <v>2000</v>
      </c>
      <c r="C12" s="6" t="s">
        <v>84</v>
      </c>
      <c r="D12" s="20"/>
      <c r="E12" s="6" t="s">
        <v>74</v>
      </c>
    </row>
    <row r="13" customFormat="false" ht="15" hidden="false" customHeight="false" outlineLevel="0" collapsed="false">
      <c r="A13" s="6" t="s">
        <v>85</v>
      </c>
      <c r="B13" s="26" t="n">
        <v>2000</v>
      </c>
      <c r="C13" s="6" t="s">
        <v>86</v>
      </c>
      <c r="D13" s="20"/>
      <c r="E13" s="6" t="s">
        <v>87</v>
      </c>
    </row>
    <row r="14" customFormat="false" ht="15" hidden="false" customHeight="false" outlineLevel="0" collapsed="false">
      <c r="A14" s="6" t="s">
        <v>88</v>
      </c>
      <c r="B14" s="26" t="n">
        <v>0</v>
      </c>
      <c r="C14" s="6" t="s">
        <v>86</v>
      </c>
      <c r="D14" s="20"/>
      <c r="E14" s="6" t="s">
        <v>89</v>
      </c>
    </row>
    <row r="15" customFormat="false" ht="15" hidden="false" customHeight="false" outlineLevel="0" collapsed="false">
      <c r="A15" s="6" t="s">
        <v>90</v>
      </c>
      <c r="B15" s="25" t="n">
        <v>0</v>
      </c>
      <c r="C15" s="6" t="s">
        <v>86</v>
      </c>
      <c r="D15" s="20"/>
      <c r="E15" s="6" t="s">
        <v>91</v>
      </c>
    </row>
    <row r="16" customFormat="false" ht="15" hidden="false" customHeight="false" outlineLevel="0" collapsed="false">
      <c r="A16" s="20"/>
      <c r="B16" s="20"/>
      <c r="C16" s="20"/>
      <c r="D16" s="20"/>
      <c r="E16" s="20"/>
    </row>
    <row r="17" customFormat="false" ht="15" hidden="false" customHeight="false" outlineLevel="0" collapsed="false">
      <c r="A17" s="4" t="s">
        <v>92</v>
      </c>
      <c r="B17" s="21"/>
      <c r="C17" s="21"/>
      <c r="D17" s="21"/>
      <c r="E17" s="21"/>
    </row>
    <row r="18" customFormat="false" ht="15" hidden="false" customHeight="false" outlineLevel="0" collapsed="false">
      <c r="A18" s="3" t="s">
        <v>93</v>
      </c>
      <c r="B18" s="3" t="s">
        <v>94</v>
      </c>
      <c r="C18" s="3" t="s">
        <v>95</v>
      </c>
      <c r="D18" s="3" t="s">
        <v>96</v>
      </c>
      <c r="E18" s="3" t="s">
        <v>67</v>
      </c>
    </row>
    <row r="19" customFormat="false" ht="15" hidden="false" customHeight="false" outlineLevel="0" collapsed="false">
      <c r="A19" s="6" t="s">
        <v>97</v>
      </c>
      <c r="B19" s="25" t="n">
        <v>699</v>
      </c>
      <c r="C19" s="27" t="n">
        <v>0.6</v>
      </c>
      <c r="D19" s="28" t="n">
        <v>60</v>
      </c>
      <c r="E19" s="6" t="s">
        <v>98</v>
      </c>
    </row>
    <row r="20" customFormat="false" ht="15" hidden="false" customHeight="false" outlineLevel="0" collapsed="false">
      <c r="A20" s="6" t="s">
        <v>99</v>
      </c>
      <c r="B20" s="25" t="n">
        <v>1499</v>
      </c>
      <c r="C20" s="27" t="n">
        <v>0.3</v>
      </c>
      <c r="D20" s="28" t="n">
        <v>150</v>
      </c>
      <c r="E20" s="20"/>
    </row>
    <row r="21" customFormat="false" ht="15" hidden="false" customHeight="false" outlineLevel="0" collapsed="false">
      <c r="A21" s="6" t="s">
        <v>100</v>
      </c>
      <c r="B21" s="25" t="n">
        <v>3499</v>
      </c>
      <c r="C21" s="27" t="n">
        <v>0.1</v>
      </c>
      <c r="D21" s="28" t="n">
        <v>400</v>
      </c>
      <c r="E21" s="20"/>
    </row>
    <row r="22" customFormat="false" ht="15" hidden="false" customHeight="false" outlineLevel="0" collapsed="false">
      <c r="A22" s="29" t="s">
        <v>101</v>
      </c>
      <c r="B22" s="30" t="n">
        <f aca="false">SUMPRODUCT(B19:B21,C19:C21)</f>
        <v>1219</v>
      </c>
      <c r="C22" s="31" t="n">
        <f aca="false">SUM(C19:C21)</f>
        <v>1</v>
      </c>
      <c r="D22" s="32" t="n">
        <f aca="false">SUMPRODUCT(C19:C21,D19:D21)</f>
        <v>121</v>
      </c>
      <c r="E22" s="6" t="s">
        <v>102</v>
      </c>
    </row>
    <row r="23" customFormat="false" ht="15" hidden="false" customHeight="false" outlineLevel="0" collapsed="false">
      <c r="A23" s="20"/>
      <c r="B23" s="20"/>
      <c r="C23" s="20"/>
      <c r="D23" s="20"/>
      <c r="E23" s="20"/>
    </row>
    <row r="24" customFormat="false" ht="15" hidden="false" customHeight="false" outlineLevel="0" collapsed="false">
      <c r="A24" s="4" t="s">
        <v>103</v>
      </c>
      <c r="B24" s="21"/>
      <c r="C24" s="21"/>
      <c r="D24" s="21"/>
      <c r="E24" s="21"/>
    </row>
    <row r="25" customFormat="false" ht="15" hidden="false" customHeight="false" outlineLevel="0" collapsed="false">
      <c r="A25" s="6" t="s">
        <v>104</v>
      </c>
      <c r="B25" s="33" t="n">
        <v>0.8</v>
      </c>
      <c r="C25" s="6" t="s">
        <v>105</v>
      </c>
      <c r="D25" s="20"/>
      <c r="E25" s="6" t="s">
        <v>74</v>
      </c>
    </row>
    <row r="26" customFormat="false" ht="15" hidden="false" customHeight="false" outlineLevel="0" collapsed="false">
      <c r="A26" s="6" t="s">
        <v>106</v>
      </c>
      <c r="B26" s="34" t="n">
        <v>1.5</v>
      </c>
      <c r="C26" s="6" t="s">
        <v>107</v>
      </c>
      <c r="D26" s="20"/>
      <c r="E26" s="6" t="s">
        <v>108</v>
      </c>
    </row>
    <row r="27" customFormat="false" ht="15" hidden="false" customHeight="false" outlineLevel="0" collapsed="false">
      <c r="A27" s="6" t="s">
        <v>109</v>
      </c>
      <c r="B27" s="27" t="n">
        <v>0.3</v>
      </c>
      <c r="C27" s="6" t="s">
        <v>110</v>
      </c>
      <c r="D27" s="20"/>
      <c r="E27" s="6" t="s">
        <v>111</v>
      </c>
    </row>
    <row r="28" customFormat="false" ht="15" hidden="false" customHeight="false" outlineLevel="0" collapsed="false">
      <c r="A28" s="20"/>
      <c r="B28" s="20"/>
      <c r="C28" s="20"/>
      <c r="D28" s="20"/>
      <c r="E28" s="20"/>
    </row>
    <row r="29" customFormat="false" ht="15" hidden="false" customHeight="false" outlineLevel="0" collapsed="false">
      <c r="A29" s="4" t="s">
        <v>112</v>
      </c>
      <c r="B29" s="21"/>
      <c r="C29" s="21"/>
      <c r="D29" s="21"/>
      <c r="E29" s="21"/>
    </row>
    <row r="30" customFormat="false" ht="15" hidden="false" customHeight="false" outlineLevel="0" collapsed="false">
      <c r="A30" s="6" t="s">
        <v>113</v>
      </c>
      <c r="B30" s="28" t="n">
        <v>300</v>
      </c>
      <c r="C30" s="6" t="s">
        <v>114</v>
      </c>
      <c r="D30" s="20"/>
      <c r="E30" s="6" t="s">
        <v>115</v>
      </c>
    </row>
    <row r="31" customFormat="false" ht="15" hidden="false" customHeight="false" outlineLevel="0" collapsed="false">
      <c r="A31" s="6" t="s">
        <v>116</v>
      </c>
      <c r="B31" s="24" t="n">
        <v>0.1</v>
      </c>
      <c r="C31" s="6" t="s">
        <v>117</v>
      </c>
      <c r="D31" s="20"/>
      <c r="E31" s="6" t="s">
        <v>118</v>
      </c>
    </row>
    <row r="32" customFormat="false" ht="15" hidden="false" customHeight="false" outlineLevel="0" collapsed="false">
      <c r="A32" s="20"/>
      <c r="B32" s="20"/>
      <c r="C32" s="20"/>
      <c r="D32" s="20"/>
      <c r="E32" s="20"/>
    </row>
    <row r="33" customFormat="false" ht="15" hidden="false" customHeight="false" outlineLevel="0" collapsed="false">
      <c r="A33" s="4" t="s">
        <v>119</v>
      </c>
      <c r="B33" s="21"/>
      <c r="C33" s="21"/>
      <c r="D33" s="21"/>
      <c r="E33" s="21"/>
    </row>
    <row r="34" customFormat="false" ht="15" hidden="false" customHeight="false" outlineLevel="0" collapsed="false">
      <c r="A34" s="6" t="s">
        <v>120</v>
      </c>
      <c r="B34" s="34" t="n">
        <v>0.5</v>
      </c>
      <c r="C34" s="6" t="s">
        <v>121</v>
      </c>
      <c r="D34" s="20"/>
      <c r="E34" s="6" t="s">
        <v>122</v>
      </c>
    </row>
    <row r="35" customFormat="false" ht="15" hidden="false" customHeight="false" outlineLevel="0" collapsed="false">
      <c r="A35" s="6" t="s">
        <v>123</v>
      </c>
      <c r="B35" s="22" t="n">
        <v>100</v>
      </c>
      <c r="C35" s="6" t="s">
        <v>121</v>
      </c>
      <c r="D35" s="20"/>
      <c r="E35" s="6" t="s">
        <v>124</v>
      </c>
    </row>
    <row r="36" customFormat="false" ht="15" hidden="false" customHeight="false" outlineLevel="0" collapsed="false">
      <c r="A36" s="6" t="s">
        <v>125</v>
      </c>
      <c r="B36" s="35" t="n">
        <v>0.021</v>
      </c>
      <c r="C36" s="6" t="s">
        <v>126</v>
      </c>
      <c r="D36" s="20"/>
      <c r="E36" s="6" t="s">
        <v>127</v>
      </c>
    </row>
    <row r="37" customFormat="false" ht="15" hidden="false" customHeight="false" outlineLevel="0" collapsed="false">
      <c r="A37" s="6" t="s">
        <v>128</v>
      </c>
      <c r="B37" s="34" t="n">
        <v>0.02</v>
      </c>
      <c r="C37" s="6" t="s">
        <v>121</v>
      </c>
      <c r="D37" s="20"/>
      <c r="E37" s="6" t="s">
        <v>129</v>
      </c>
    </row>
    <row r="38" customFormat="false" ht="15" hidden="false" customHeight="false" outlineLevel="0" collapsed="false">
      <c r="A38" s="6" t="s">
        <v>130</v>
      </c>
      <c r="B38" s="22" t="n">
        <v>8</v>
      </c>
      <c r="C38" s="6" t="s">
        <v>121</v>
      </c>
      <c r="D38" s="20"/>
      <c r="E38" s="6" t="s">
        <v>124</v>
      </c>
    </row>
    <row r="39" customFormat="false" ht="15" hidden="false" customHeight="false" outlineLevel="0" collapsed="false">
      <c r="A39" s="6" t="s">
        <v>131</v>
      </c>
      <c r="B39" s="35" t="n">
        <v>0.125</v>
      </c>
      <c r="C39" s="6" t="s">
        <v>126</v>
      </c>
      <c r="D39" s="20"/>
      <c r="E39" s="6" t="s">
        <v>132</v>
      </c>
    </row>
    <row r="40" customFormat="false" ht="15" hidden="false" customHeight="false" outlineLevel="0" collapsed="false">
      <c r="A40" s="6" t="s">
        <v>133</v>
      </c>
      <c r="B40" s="36" t="n">
        <v>0.05</v>
      </c>
      <c r="C40" s="6" t="s">
        <v>79</v>
      </c>
      <c r="D40" s="20"/>
      <c r="E40" s="6" t="s">
        <v>134</v>
      </c>
    </row>
    <row r="41" customFormat="false" ht="15" hidden="false" customHeight="false" outlineLevel="0" collapsed="false">
      <c r="A41" s="6" t="s">
        <v>135</v>
      </c>
      <c r="B41" s="24" t="n">
        <v>20</v>
      </c>
      <c r="C41" s="6" t="s">
        <v>79</v>
      </c>
      <c r="D41" s="20"/>
      <c r="E41" s="6" t="s">
        <v>136</v>
      </c>
    </row>
    <row r="42" customFormat="false" ht="15" hidden="false" customHeight="false" outlineLevel="0" collapsed="false">
      <c r="A42" s="6" t="s">
        <v>137</v>
      </c>
      <c r="B42" s="28" t="n">
        <v>200</v>
      </c>
      <c r="C42" s="6" t="s">
        <v>138</v>
      </c>
      <c r="D42" s="20"/>
      <c r="E42" s="6" t="s">
        <v>139</v>
      </c>
    </row>
    <row r="43" customFormat="false" ht="15" hidden="false" customHeight="false" outlineLevel="0" collapsed="false">
      <c r="A43" s="6" t="s">
        <v>140</v>
      </c>
      <c r="B43" s="24" t="n">
        <v>5</v>
      </c>
      <c r="C43" s="6" t="s">
        <v>79</v>
      </c>
      <c r="D43" s="20"/>
      <c r="E43" s="6" t="s">
        <v>141</v>
      </c>
    </row>
    <row r="44" customFormat="false" ht="15" hidden="false" customHeight="false" outlineLevel="0" collapsed="false">
      <c r="A44" s="6" t="s">
        <v>142</v>
      </c>
      <c r="B44" s="28" t="n">
        <v>600</v>
      </c>
      <c r="C44" s="6" t="s">
        <v>138</v>
      </c>
      <c r="D44" s="20"/>
      <c r="E44" s="6" t="s">
        <v>139</v>
      </c>
    </row>
    <row r="45" customFormat="false" ht="15" hidden="false" customHeight="false" outlineLevel="0" collapsed="false">
      <c r="A45" s="6" t="s">
        <v>143</v>
      </c>
      <c r="B45" s="24" t="n">
        <v>50</v>
      </c>
      <c r="C45" s="6" t="s">
        <v>79</v>
      </c>
      <c r="D45" s="20"/>
      <c r="E45" s="6" t="s">
        <v>144</v>
      </c>
    </row>
    <row r="46" customFormat="false" ht="15" hidden="false" customHeight="false" outlineLevel="0" collapsed="false">
      <c r="A46" s="20"/>
      <c r="B46" s="20"/>
      <c r="C46" s="20"/>
      <c r="D46" s="20"/>
      <c r="E46" s="20"/>
    </row>
    <row r="47" customFormat="false" ht="15" hidden="false" customHeight="false" outlineLevel="0" collapsed="false">
      <c r="A47" s="2" t="s">
        <v>145</v>
      </c>
      <c r="B47" s="20"/>
      <c r="C47" s="20"/>
      <c r="D47" s="20"/>
      <c r="E47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5"/>
  </cols>
  <sheetData>
    <row r="1" customFormat="false" ht="17.15" hidden="false" customHeight="false" outlineLevel="0" collapsed="false">
      <c r="A1" s="1" t="s">
        <v>146</v>
      </c>
      <c r="B1" s="20"/>
      <c r="C1" s="20"/>
      <c r="D1" s="20"/>
      <c r="E1" s="20"/>
      <c r="F1" s="20"/>
    </row>
    <row r="2" customFormat="false" ht="15" hidden="false" customHeight="false" outlineLevel="0" collapsed="false">
      <c r="A2" s="2" t="s">
        <v>147</v>
      </c>
      <c r="B2" s="20"/>
      <c r="C2" s="20"/>
      <c r="D2" s="20"/>
      <c r="E2" s="20"/>
      <c r="F2" s="20"/>
    </row>
    <row r="3" customFormat="false" ht="15" hidden="false" customHeight="false" outlineLevel="0" collapsed="false">
      <c r="A3" s="20"/>
      <c r="B3" s="20"/>
      <c r="C3" s="20"/>
      <c r="D3" s="20"/>
      <c r="E3" s="20"/>
      <c r="F3" s="20"/>
    </row>
    <row r="4" customFormat="false" ht="15" hidden="false" customHeight="false" outlineLevel="0" collapsed="false">
      <c r="A4" s="3" t="s">
        <v>148</v>
      </c>
      <c r="B4" s="37" t="n">
        <v>20</v>
      </c>
      <c r="C4" s="37" t="n">
        <v>100</v>
      </c>
      <c r="D4" s="37" t="n">
        <v>250</v>
      </c>
      <c r="E4" s="37" t="n">
        <v>500</v>
      </c>
      <c r="F4" s="37" t="n">
        <v>1000</v>
      </c>
    </row>
    <row r="5" customFormat="false" ht="15" hidden="false" customHeight="false" outlineLevel="0" collapsed="false">
      <c r="A5" s="4" t="s">
        <v>149</v>
      </c>
      <c r="B5" s="21"/>
      <c r="C5" s="21"/>
      <c r="D5" s="21"/>
      <c r="E5" s="21"/>
      <c r="F5" s="21"/>
    </row>
    <row r="6" customFormat="false" ht="15" hidden="false" customHeight="false" outlineLevel="0" collapsed="false">
      <c r="A6" s="6" t="s">
        <v>150</v>
      </c>
      <c r="B6" s="38" t="n">
        <f aca="false">B$4*Inputs!$B$22</f>
        <v>24380</v>
      </c>
      <c r="C6" s="38" t="n">
        <f aca="false">C$4*Inputs!$B$22</f>
        <v>121900</v>
      </c>
      <c r="D6" s="38" t="n">
        <f aca="false">D$4*Inputs!$B$22</f>
        <v>304750</v>
      </c>
      <c r="E6" s="38" t="n">
        <f aca="false">E$4*Inputs!$B$22</f>
        <v>609500</v>
      </c>
      <c r="F6" s="38" t="n">
        <f aca="false">F$4*Inputs!$B$22</f>
        <v>1219000</v>
      </c>
    </row>
    <row r="7" customFormat="false" ht="15" hidden="false" customHeight="false" outlineLevel="0" collapsed="false">
      <c r="A7" s="6" t="s">
        <v>151</v>
      </c>
      <c r="B7" s="38" t="n">
        <f aca="false">B6*Inputs!$B$6</f>
        <v>353.51</v>
      </c>
      <c r="C7" s="38" t="n">
        <f aca="false">C6*Inputs!$B$6</f>
        <v>1767.55</v>
      </c>
      <c r="D7" s="38" t="n">
        <f aca="false">D6*Inputs!$B$6</f>
        <v>4418.875</v>
      </c>
      <c r="E7" s="38" t="n">
        <f aca="false">E6*Inputs!$B$6</f>
        <v>8837.75</v>
      </c>
      <c r="F7" s="38" t="n">
        <f aca="false">F6*Inputs!$B$6</f>
        <v>17675.5</v>
      </c>
    </row>
    <row r="8" customFormat="false" ht="15" hidden="false" customHeight="false" outlineLevel="0" collapsed="false">
      <c r="A8" s="39" t="s">
        <v>152</v>
      </c>
      <c r="B8" s="40" t="n">
        <f aca="false">B6-B7</f>
        <v>24026.49</v>
      </c>
      <c r="C8" s="40" t="n">
        <f aca="false">C6-C7</f>
        <v>120132.45</v>
      </c>
      <c r="D8" s="40" t="n">
        <f aca="false">D6-D7</f>
        <v>300331.125</v>
      </c>
      <c r="E8" s="40" t="n">
        <f aca="false">E6-E7</f>
        <v>600662.25</v>
      </c>
      <c r="F8" s="40" t="n">
        <f aca="false">F6-F7</f>
        <v>1201324.5</v>
      </c>
    </row>
    <row r="9" customFormat="false" ht="15" hidden="false" customHeight="false" outlineLevel="0" collapsed="false">
      <c r="A9" s="20"/>
      <c r="B9" s="20"/>
      <c r="C9" s="20"/>
      <c r="D9" s="20"/>
      <c r="E9" s="20"/>
      <c r="F9" s="20"/>
    </row>
    <row r="10" customFormat="false" ht="15" hidden="false" customHeight="false" outlineLevel="0" collapsed="false">
      <c r="A10" s="4" t="s">
        <v>153</v>
      </c>
      <c r="B10" s="21"/>
      <c r="C10" s="21"/>
      <c r="D10" s="21"/>
      <c r="E10" s="21"/>
      <c r="F10" s="21"/>
    </row>
    <row r="11" customFormat="false" ht="15" hidden="false" customHeight="false" outlineLevel="0" collapsed="false">
      <c r="A11" s="6" t="s">
        <v>154</v>
      </c>
      <c r="B11" s="38" t="n">
        <f aca="false">Inputs!$B$9*Inputs!$B$10*Inputs!$B$5</f>
        <v>2580</v>
      </c>
      <c r="C11" s="38" t="n">
        <f aca="false">Inputs!$B$9*Inputs!$B$10*Inputs!$B$5</f>
        <v>2580</v>
      </c>
      <c r="D11" s="38" t="n">
        <f aca="false">Inputs!$B$9*Inputs!$B$10*Inputs!$B$5</f>
        <v>2580</v>
      </c>
      <c r="E11" s="38" t="n">
        <f aca="false">Inputs!$B$9*Inputs!$B$10*Inputs!$B$5</f>
        <v>2580</v>
      </c>
      <c r="F11" s="38" t="n">
        <f aca="false">Inputs!$B$9*Inputs!$B$10*Inputs!$B$5</f>
        <v>2580</v>
      </c>
    </row>
    <row r="12" customFormat="false" ht="15" hidden="false" customHeight="false" outlineLevel="0" collapsed="false">
      <c r="A12" s="6" t="s">
        <v>155</v>
      </c>
      <c r="B12" s="38" t="n">
        <f aca="false">Inputs!$B$11*Inputs!$B$5</f>
        <v>3225</v>
      </c>
      <c r="C12" s="38" t="n">
        <f aca="false">Inputs!$B$11*Inputs!$B$5</f>
        <v>3225</v>
      </c>
      <c r="D12" s="38" t="n">
        <f aca="false">Inputs!$B$11*Inputs!$B$5</f>
        <v>3225</v>
      </c>
      <c r="E12" s="38" t="n">
        <f aca="false">Inputs!$B$11*Inputs!$B$5</f>
        <v>3225</v>
      </c>
      <c r="F12" s="38" t="n">
        <f aca="false">Inputs!$B$11*Inputs!$B$5</f>
        <v>3225</v>
      </c>
    </row>
    <row r="13" customFormat="false" ht="15" hidden="false" customHeight="false" outlineLevel="0" collapsed="false">
      <c r="A13" s="6" t="s">
        <v>156</v>
      </c>
      <c r="B13" s="38" t="n">
        <f aca="false">Inputs!$B$12/12</f>
        <v>166.666666666667</v>
      </c>
      <c r="C13" s="38" t="n">
        <f aca="false">Inputs!$B$12/12</f>
        <v>166.666666666667</v>
      </c>
      <c r="D13" s="38" t="n">
        <f aca="false">Inputs!$B$12/12</f>
        <v>166.666666666667</v>
      </c>
      <c r="E13" s="38" t="n">
        <f aca="false">Inputs!$B$12/12</f>
        <v>166.666666666667</v>
      </c>
      <c r="F13" s="38" t="n">
        <f aca="false">Inputs!$B$12/12</f>
        <v>166.666666666667</v>
      </c>
    </row>
    <row r="14" customFormat="false" ht="15" hidden="false" customHeight="false" outlineLevel="0" collapsed="false">
      <c r="A14" s="6" t="s">
        <v>157</v>
      </c>
      <c r="B14" s="38" t="n">
        <f aca="false">Inputs!$B$13</f>
        <v>2000</v>
      </c>
      <c r="C14" s="38" t="n">
        <f aca="false">Inputs!$B$13</f>
        <v>2000</v>
      </c>
      <c r="D14" s="38" t="n">
        <f aca="false">Inputs!$B$13</f>
        <v>2000</v>
      </c>
      <c r="E14" s="38" t="n">
        <f aca="false">Inputs!$B$13</f>
        <v>2000</v>
      </c>
      <c r="F14" s="38" t="n">
        <f aca="false">Inputs!$B$13</f>
        <v>2000</v>
      </c>
    </row>
    <row r="15" customFormat="false" ht="15" hidden="false" customHeight="false" outlineLevel="0" collapsed="false">
      <c r="A15" s="6" t="s">
        <v>158</v>
      </c>
      <c r="B15" s="38" t="n">
        <f aca="false">Inputs!$B$14</f>
        <v>0</v>
      </c>
      <c r="C15" s="38" t="n">
        <f aca="false">Inputs!$B$14</f>
        <v>0</v>
      </c>
      <c r="D15" s="38" t="n">
        <f aca="false">Inputs!$B$14</f>
        <v>0</v>
      </c>
      <c r="E15" s="38" t="n">
        <f aca="false">Inputs!$B$14</f>
        <v>0</v>
      </c>
      <c r="F15" s="38" t="n">
        <f aca="false">Inputs!$B$14</f>
        <v>0</v>
      </c>
    </row>
    <row r="16" customFormat="false" ht="15" hidden="false" customHeight="false" outlineLevel="0" collapsed="false">
      <c r="A16" s="6" t="s">
        <v>90</v>
      </c>
      <c r="B16" s="38" t="n">
        <f aca="false">Inputs!$B$15</f>
        <v>0</v>
      </c>
      <c r="C16" s="38" t="n">
        <f aca="false">Inputs!$B$15</f>
        <v>0</v>
      </c>
      <c r="D16" s="38" t="n">
        <f aca="false">Inputs!$B$15</f>
        <v>0</v>
      </c>
      <c r="E16" s="38" t="n">
        <f aca="false">Inputs!$B$15</f>
        <v>0</v>
      </c>
      <c r="F16" s="38" t="n">
        <f aca="false">Inputs!$B$15</f>
        <v>0</v>
      </c>
    </row>
    <row r="17" customFormat="false" ht="15" hidden="false" customHeight="false" outlineLevel="0" collapsed="false">
      <c r="A17" s="39" t="s">
        <v>159</v>
      </c>
      <c r="B17" s="40" t="n">
        <f aca="false">SUM(B11:B16)</f>
        <v>7971.66666666667</v>
      </c>
      <c r="C17" s="40" t="n">
        <f aca="false">SUM(C11:C16)</f>
        <v>7971.66666666667</v>
      </c>
      <c r="D17" s="40" t="n">
        <f aca="false">SUM(D11:D16)</f>
        <v>7971.66666666667</v>
      </c>
      <c r="E17" s="40" t="n">
        <f aca="false">SUM(E11:E16)</f>
        <v>7971.66666666667</v>
      </c>
      <c r="F17" s="40" t="n">
        <f aca="false">SUM(F11:F16)</f>
        <v>7971.66666666667</v>
      </c>
    </row>
    <row r="18" customFormat="false" ht="15" hidden="false" customHeight="false" outlineLevel="0" collapsed="false">
      <c r="A18" s="20"/>
      <c r="B18" s="20"/>
      <c r="C18" s="20"/>
      <c r="D18" s="20"/>
      <c r="E18" s="20"/>
      <c r="F18" s="20"/>
    </row>
    <row r="19" customFormat="false" ht="15" hidden="false" customHeight="false" outlineLevel="0" collapsed="false">
      <c r="A19" s="4" t="s">
        <v>160</v>
      </c>
      <c r="B19" s="21"/>
      <c r="C19" s="21"/>
      <c r="D19" s="21"/>
      <c r="E19" s="21"/>
      <c r="F19" s="21"/>
    </row>
    <row r="20" customFormat="false" ht="15" hidden="false" customHeight="false" outlineLevel="0" collapsed="false">
      <c r="A20" s="6" t="s">
        <v>161</v>
      </c>
      <c r="B20" s="38" t="n">
        <f aca="false">B$4*(1-Inputs!$B$27)*Inputs!$D$22*Inputs!$B$26*Inputs!$B$25</f>
        <v>2032.8</v>
      </c>
      <c r="C20" s="38" t="n">
        <f aca="false">C$4*(1-Inputs!$B$27)*Inputs!$D$22*Inputs!$B$26*Inputs!$B$25</f>
        <v>10164</v>
      </c>
      <c r="D20" s="38" t="n">
        <f aca="false">D$4*(1-Inputs!$B$27)*Inputs!$D$22*Inputs!$B$26*Inputs!$B$25</f>
        <v>25410</v>
      </c>
      <c r="E20" s="38" t="n">
        <f aca="false">E$4*(1-Inputs!$B$27)*Inputs!$D$22*Inputs!$B$26*Inputs!$B$25</f>
        <v>50820</v>
      </c>
      <c r="F20" s="38" t="n">
        <f aca="false">F$4*(1-Inputs!$B$27)*Inputs!$D$22*Inputs!$B$26*Inputs!$B$25</f>
        <v>101640</v>
      </c>
    </row>
    <row r="21" customFormat="false" ht="15" hidden="false" customHeight="false" outlineLevel="0" collapsed="false">
      <c r="A21" s="6" t="s">
        <v>162</v>
      </c>
      <c r="B21" s="38" t="n">
        <f aca="false">B$4*Inputs!$B$30/1000*Inputs!$B$31*Inputs!$B$5</f>
        <v>77.4</v>
      </c>
      <c r="C21" s="38" t="n">
        <f aca="false">C$4*Inputs!$B$30/1000*Inputs!$B$31*Inputs!$B$5</f>
        <v>387</v>
      </c>
      <c r="D21" s="38" t="n">
        <f aca="false">D$4*Inputs!$B$30/1000*Inputs!$B$31*Inputs!$B$5</f>
        <v>967.5</v>
      </c>
      <c r="E21" s="38" t="n">
        <f aca="false">E$4*Inputs!$B$30/1000*Inputs!$B$31*Inputs!$B$5</f>
        <v>1935</v>
      </c>
      <c r="F21" s="38" t="n">
        <f aca="false">F$4*Inputs!$B$30/1000*Inputs!$B$31*Inputs!$B$5</f>
        <v>3870</v>
      </c>
    </row>
    <row r="22" customFormat="false" ht="15" hidden="false" customHeight="false" outlineLevel="0" collapsed="false">
      <c r="A22" s="6" t="s">
        <v>125</v>
      </c>
      <c r="B22" s="38" t="n">
        <f aca="false">MAX(0,B$4*Inputs!$B$34-Inputs!$B$35)*Inputs!$B$36*Inputs!$B$5</f>
        <v>0</v>
      </c>
      <c r="C22" s="38" t="n">
        <f aca="false">MAX(0,C$4*Inputs!$B$34-Inputs!$B$35)*Inputs!$B$36*Inputs!$B$5</f>
        <v>0</v>
      </c>
      <c r="D22" s="38" t="n">
        <f aca="false">MAX(0,D$4*Inputs!$B$34-Inputs!$B$35)*Inputs!$B$36*Inputs!$B$5</f>
        <v>67.725</v>
      </c>
      <c r="E22" s="38" t="n">
        <f aca="false">MAX(0,E$4*Inputs!$B$34-Inputs!$B$35)*Inputs!$B$36*Inputs!$B$5</f>
        <v>406.35</v>
      </c>
      <c r="F22" s="38" t="n">
        <f aca="false">MAX(0,F$4*Inputs!$B$34-Inputs!$B$35)*Inputs!$B$36*Inputs!$B$5</f>
        <v>1083.6</v>
      </c>
    </row>
    <row r="23" customFormat="false" ht="15" hidden="false" customHeight="false" outlineLevel="0" collapsed="false">
      <c r="A23" s="6" t="s">
        <v>131</v>
      </c>
      <c r="B23" s="38" t="n">
        <f aca="false">MAX(0,B$4*Inputs!$B$37-Inputs!$B$38)*Inputs!$B$39*Inputs!$B$5</f>
        <v>0</v>
      </c>
      <c r="C23" s="38" t="n">
        <f aca="false">MAX(0,C$4*Inputs!$B$37-Inputs!$B$38)*Inputs!$B$39*Inputs!$B$5</f>
        <v>0</v>
      </c>
      <c r="D23" s="38" t="n">
        <f aca="false">MAX(0,D$4*Inputs!$B$37-Inputs!$B$38)*Inputs!$B$39*Inputs!$B$5</f>
        <v>0</v>
      </c>
      <c r="E23" s="38" t="n">
        <f aca="false">MAX(0,E$4*Inputs!$B$37-Inputs!$B$38)*Inputs!$B$39*Inputs!$B$5</f>
        <v>32.25</v>
      </c>
      <c r="F23" s="38" t="n">
        <f aca="false">MAX(0,F$4*Inputs!$B$37-Inputs!$B$38)*Inputs!$B$39*Inputs!$B$5</f>
        <v>193.5</v>
      </c>
    </row>
    <row r="24" customFormat="false" ht="15" hidden="false" customHeight="false" outlineLevel="0" collapsed="false">
      <c r="A24" s="6" t="s">
        <v>163</v>
      </c>
      <c r="B24" s="38" t="n">
        <f aca="false">MAX(0,B$4*Inputs!$B$40-Inputs!$B$9*Inputs!$B$41)*Inputs!$B$5</f>
        <v>0</v>
      </c>
      <c r="C24" s="38" t="n">
        <f aca="false">MAX(0,C$4*Inputs!$B$40-Inputs!$B$9*Inputs!$B$41)*Inputs!$B$5</f>
        <v>0</v>
      </c>
      <c r="D24" s="38" t="n">
        <f aca="false">MAX(0,D$4*Inputs!$B$40-Inputs!$B$9*Inputs!$B$41)*Inputs!$B$5</f>
        <v>0</v>
      </c>
      <c r="E24" s="38" t="n">
        <f aca="false">MAX(0,E$4*Inputs!$B$40-Inputs!$B$9*Inputs!$B$41)*Inputs!$B$5</f>
        <v>645</v>
      </c>
      <c r="F24" s="38" t="n">
        <f aca="false">MAX(0,F$4*Inputs!$B$40-Inputs!$B$9*Inputs!$B$41)*Inputs!$B$5</f>
        <v>3870</v>
      </c>
    </row>
    <row r="25" customFormat="false" ht="15" hidden="false" customHeight="false" outlineLevel="0" collapsed="false">
      <c r="A25" s="6" t="s">
        <v>164</v>
      </c>
      <c r="B25" s="38" t="n">
        <f aca="false">IF(B$4&gt;Inputs!$B$44,Inputs!$B$45,IF(B$4&gt;Inputs!$B$42,Inputs!$B$43,0))*Inputs!$B$5</f>
        <v>0</v>
      </c>
      <c r="C25" s="38" t="n">
        <f aca="false">IF(C$4&gt;Inputs!$B$44,Inputs!$B$45,IF(C$4&gt;Inputs!$B$42,Inputs!$B$43,0))*Inputs!$B$5</f>
        <v>0</v>
      </c>
      <c r="D25" s="38" t="n">
        <f aca="false">IF(D$4&gt;Inputs!$B$44,Inputs!$B$45,IF(D$4&gt;Inputs!$B$42,Inputs!$B$43,0))*Inputs!$B$5</f>
        <v>645</v>
      </c>
      <c r="E25" s="38" t="n">
        <f aca="false">IF(E$4&gt;Inputs!$B$44,Inputs!$B$45,IF(E$4&gt;Inputs!$B$42,Inputs!$B$43,0))*Inputs!$B$5</f>
        <v>645</v>
      </c>
      <c r="F25" s="38" t="n">
        <f aca="false">IF(F$4&gt;Inputs!$B$44,Inputs!$B$45,IF(F$4&gt;Inputs!$B$42,Inputs!$B$43,0))*Inputs!$B$5</f>
        <v>6450</v>
      </c>
    </row>
    <row r="26" customFormat="false" ht="15" hidden="false" customHeight="false" outlineLevel="0" collapsed="false">
      <c r="A26" s="39" t="s">
        <v>165</v>
      </c>
      <c r="B26" s="40" t="n">
        <f aca="false">SUM(B20:B25)</f>
        <v>2110.2</v>
      </c>
      <c r="C26" s="40" t="n">
        <f aca="false">SUM(C20:C25)</f>
        <v>10551</v>
      </c>
      <c r="D26" s="40" t="n">
        <f aca="false">SUM(D20:D25)</f>
        <v>27090.225</v>
      </c>
      <c r="E26" s="40" t="n">
        <f aca="false">SUM(E20:E25)</f>
        <v>54483.6</v>
      </c>
      <c r="F26" s="40" t="n">
        <f aca="false">SUM(F20:F25)</f>
        <v>117107.1</v>
      </c>
    </row>
    <row r="27" customFormat="false" ht="15" hidden="false" customHeight="false" outlineLevel="0" collapsed="false">
      <c r="A27" s="20"/>
      <c r="B27" s="20"/>
      <c r="C27" s="20"/>
      <c r="D27" s="20"/>
      <c r="E27" s="20"/>
      <c r="F27" s="20"/>
    </row>
    <row r="28" customFormat="false" ht="15" hidden="false" customHeight="false" outlineLevel="0" collapsed="false">
      <c r="A28" s="4" t="s">
        <v>166</v>
      </c>
      <c r="B28" s="21"/>
      <c r="C28" s="21"/>
      <c r="D28" s="21"/>
      <c r="E28" s="21"/>
      <c r="F28" s="21"/>
    </row>
    <row r="29" customFormat="false" ht="15" hidden="false" customHeight="false" outlineLevel="0" collapsed="false">
      <c r="A29" s="39" t="s">
        <v>167</v>
      </c>
      <c r="B29" s="40" t="n">
        <f aca="false">B17+B26</f>
        <v>10081.8666666667</v>
      </c>
      <c r="C29" s="40" t="n">
        <f aca="false">C17+C26</f>
        <v>18522.6666666667</v>
      </c>
      <c r="D29" s="40" t="n">
        <f aca="false">D17+D26</f>
        <v>35061.8916666667</v>
      </c>
      <c r="E29" s="40" t="n">
        <f aca="false">E17+E26</f>
        <v>62455.2666666667</v>
      </c>
      <c r="F29" s="40" t="n">
        <f aca="false">F17+F26</f>
        <v>125078.766666667</v>
      </c>
    </row>
    <row r="30" customFormat="false" ht="15" hidden="false" customHeight="false" outlineLevel="0" collapsed="false">
      <c r="A30" s="39" t="s">
        <v>168</v>
      </c>
      <c r="B30" s="40" t="n">
        <f aca="false">B8-B29</f>
        <v>13944.6233333333</v>
      </c>
      <c r="C30" s="40" t="n">
        <f aca="false">C8-C29</f>
        <v>101609.783333333</v>
      </c>
      <c r="D30" s="40" t="n">
        <f aca="false">D8-D29</f>
        <v>265269.233333333</v>
      </c>
      <c r="E30" s="40" t="n">
        <f aca="false">E8-E29</f>
        <v>538206.983333333</v>
      </c>
      <c r="F30" s="40" t="n">
        <f aca="false">F8-F29</f>
        <v>1076245.73333333</v>
      </c>
    </row>
    <row r="31" customFormat="false" ht="15" hidden="false" customHeight="false" outlineLevel="0" collapsed="false">
      <c r="A31" s="6" t="s">
        <v>169</v>
      </c>
      <c r="B31" s="41" t="n">
        <f aca="false">IF(B6=0,0,B30/B6)</f>
        <v>0.571969783975937</v>
      </c>
      <c r="C31" s="41" t="n">
        <f aca="false">IF(C6=0,0,C30/C6)</f>
        <v>0.833550314465409</v>
      </c>
      <c r="D31" s="41" t="n">
        <f aca="false">IF(D6=0,0,D30/D6)</f>
        <v>0.870448673776319</v>
      </c>
      <c r="E31" s="41" t="n">
        <f aca="false">IF(E6=0,0,E30/E6)</f>
        <v>0.883030325403336</v>
      </c>
      <c r="F31" s="41" t="n">
        <f aca="false">IF(F6=0,0,F30/F6)</f>
        <v>0.882892316106098</v>
      </c>
    </row>
    <row r="32" customFormat="false" ht="15" hidden="false" customHeight="false" outlineLevel="0" collapsed="false">
      <c r="A32" s="6" t="s">
        <v>170</v>
      </c>
      <c r="B32" s="38" t="n">
        <f aca="false">IF(B$4=0,0,B29/B$4)</f>
        <v>504.093333333333</v>
      </c>
      <c r="C32" s="38" t="n">
        <f aca="false">IF(C$4=0,0,C29/C$4)</f>
        <v>185.226666666667</v>
      </c>
      <c r="D32" s="38" t="n">
        <f aca="false">IF(D$4=0,0,D29/D$4)</f>
        <v>140.247566666667</v>
      </c>
      <c r="E32" s="38" t="n">
        <f aca="false">IF(E$4=0,0,E29/E$4)</f>
        <v>124.910533333333</v>
      </c>
      <c r="F32" s="38" t="n">
        <f aca="false">IF(F$4=0,0,F29/F$4)</f>
        <v>125.078766666667</v>
      </c>
    </row>
    <row r="33" customFormat="false" ht="15" hidden="false" customHeight="false" outlineLevel="0" collapsed="false">
      <c r="A33" s="6" t="s">
        <v>171</v>
      </c>
      <c r="B33" s="41" t="n">
        <f aca="false">IF(B29=0,0,B20/B29)</f>
        <v>0.20162932790224</v>
      </c>
      <c r="C33" s="41" t="n">
        <f aca="false">IF(C29=0,0,C20/C29)</f>
        <v>0.548733083789231</v>
      </c>
      <c r="D33" s="41" t="n">
        <f aca="false">IF(D29=0,0,D20/D29)</f>
        <v>0.724718456196626</v>
      </c>
      <c r="E33" s="41" t="n">
        <f aca="false">IF(E29=0,0,E20/E29)</f>
        <v>0.813702393926747</v>
      </c>
      <c r="F33" s="41" t="n">
        <f aca="false">IF(F29=0,0,F20/F29)</f>
        <v>0.812607948644627</v>
      </c>
    </row>
    <row r="34" customFormat="false" ht="15" hidden="false" customHeight="false" outlineLevel="0" collapsed="false">
      <c r="A34" s="20"/>
      <c r="B34" s="20"/>
      <c r="C34" s="20"/>
      <c r="D34" s="20"/>
      <c r="E34" s="20"/>
      <c r="F34" s="20"/>
    </row>
    <row r="35" customFormat="false" ht="15" hidden="false" customHeight="false" outlineLevel="0" collapsed="false">
      <c r="A35" s="3" t="s">
        <v>172</v>
      </c>
      <c r="B35" s="42" t="n">
        <f aca="false">IF((Inputs!$B$22*(1-Inputs!$B$6)-B26/B4)&lt;=0,0,ROUNDUP(B17/(Inputs!$B$22*(1-Inputs!$B$6)-B26/B4),0))</f>
        <v>8</v>
      </c>
      <c r="C35" s="20" t="s">
        <v>173</v>
      </c>
      <c r="D35" s="20"/>
      <c r="E35" s="20"/>
      <c r="F35" s="20"/>
    </row>
    <row r="36" customFormat="false" ht="15" hidden="false" customHeight="false" outlineLevel="0" collapsed="false">
      <c r="A36" s="2" t="s">
        <v>174</v>
      </c>
      <c r="B36" s="20"/>
      <c r="C36" s="20"/>
      <c r="D36" s="20"/>
      <c r="E36" s="20"/>
      <c r="F36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5"/>
  </cols>
  <sheetData>
    <row r="1" customFormat="false" ht="17.15" hidden="false" customHeight="false" outlineLevel="0" collapsed="false">
      <c r="A1" s="1" t="s">
        <v>175</v>
      </c>
      <c r="B1" s="20"/>
      <c r="C1" s="20"/>
      <c r="D1" s="20"/>
    </row>
    <row r="2" customFormat="false" ht="15" hidden="false" customHeight="false" outlineLevel="0" collapsed="false">
      <c r="A2" s="2" t="s">
        <v>176</v>
      </c>
      <c r="B2" s="20"/>
      <c r="C2" s="20"/>
      <c r="D2" s="20"/>
    </row>
    <row r="3" customFormat="false" ht="15" hidden="false" customHeight="false" outlineLevel="0" collapsed="false">
      <c r="A3" s="20"/>
      <c r="B3" s="20"/>
      <c r="C3" s="20"/>
      <c r="D3" s="20"/>
    </row>
    <row r="4" customFormat="false" ht="15" hidden="false" customHeight="false" outlineLevel="0" collapsed="false">
      <c r="A4" s="3" t="s">
        <v>93</v>
      </c>
      <c r="B4" s="43" t="str">
        <f aca="false">Inputs!A19</f>
        <v>Starter</v>
      </c>
      <c r="C4" s="43" t="str">
        <f aca="false">Inputs!A20</f>
        <v>Pro</v>
      </c>
      <c r="D4" s="43" t="str">
        <f aca="false">Inputs!A21</f>
        <v>Business</v>
      </c>
    </row>
    <row r="5" customFormat="false" ht="15" hidden="false" customHeight="false" outlineLevel="0" collapsed="false">
      <c r="A5" s="6" t="s">
        <v>177</v>
      </c>
      <c r="B5" s="7" t="n">
        <f aca="false">Inputs!B19</f>
        <v>699</v>
      </c>
      <c r="C5" s="7" t="n">
        <f aca="false">Inputs!B20</f>
        <v>1499</v>
      </c>
      <c r="D5" s="7" t="n">
        <f aca="false">Inputs!B21</f>
        <v>3499</v>
      </c>
    </row>
    <row r="6" customFormat="false" ht="15" hidden="false" customHeight="false" outlineLevel="0" collapsed="false">
      <c r="A6" s="6" t="s">
        <v>151</v>
      </c>
      <c r="B6" s="44" t="n">
        <f aca="false">B5*Inputs!$B$6</f>
        <v>10.1355</v>
      </c>
      <c r="C6" s="44" t="n">
        <f aca="false">C5*Inputs!$B$6</f>
        <v>21.7355</v>
      </c>
      <c r="D6" s="44" t="n">
        <f aca="false">D5*Inputs!$B$6</f>
        <v>50.7355</v>
      </c>
    </row>
    <row r="7" customFormat="false" ht="15" hidden="false" customHeight="false" outlineLevel="0" collapsed="false">
      <c r="A7" s="6" t="s">
        <v>178</v>
      </c>
      <c r="B7" s="44" t="n">
        <f aca="false">Inputs!D19*Inputs!$B$26*Inputs!$B$25*(1-Inputs!$B$27)</f>
        <v>50.4</v>
      </c>
      <c r="C7" s="44" t="n">
        <f aca="false">Inputs!D20*Inputs!$B$26*Inputs!$B$25*(1-Inputs!$B$27)</f>
        <v>126</v>
      </c>
      <c r="D7" s="44" t="n">
        <f aca="false">Inputs!D21*Inputs!$B$26*Inputs!$B$25*(1-Inputs!$B$27)</f>
        <v>336</v>
      </c>
    </row>
    <row r="8" customFormat="false" ht="15" hidden="false" customHeight="false" outlineLevel="0" collapsed="false">
      <c r="A8" s="6" t="s">
        <v>179</v>
      </c>
      <c r="B8" s="44" t="n">
        <f aca="false">Inputs!$B$30/1000*Inputs!$B$31*Inputs!$B$5</f>
        <v>3.87</v>
      </c>
      <c r="C8" s="44" t="n">
        <f aca="false">Inputs!$B$30/1000*Inputs!$B$31*Inputs!$B$5</f>
        <v>3.87</v>
      </c>
      <c r="D8" s="44" t="n">
        <f aca="false">Inputs!$B$30/1000*Inputs!$B$31*Inputs!$B$5</f>
        <v>3.87</v>
      </c>
    </row>
    <row r="9" customFormat="false" ht="15" hidden="false" customHeight="false" outlineLevel="0" collapsed="false">
      <c r="A9" s="6" t="s">
        <v>180</v>
      </c>
      <c r="B9" s="44" t="n">
        <f aca="false">SUM(B6:B8)</f>
        <v>64.4055</v>
      </c>
      <c r="C9" s="44" t="n">
        <f aca="false">SUM(C6:C8)</f>
        <v>151.6055</v>
      </c>
      <c r="D9" s="44" t="n">
        <f aca="false">SUM(D6:D8)</f>
        <v>390.6055</v>
      </c>
    </row>
    <row r="10" customFormat="false" ht="15" hidden="false" customHeight="false" outlineLevel="0" collapsed="false">
      <c r="A10" s="39" t="s">
        <v>181</v>
      </c>
      <c r="B10" s="40" t="n">
        <f aca="false">B5-B9</f>
        <v>634.5945</v>
      </c>
      <c r="C10" s="40" t="n">
        <f aca="false">C5-C9</f>
        <v>1347.3945</v>
      </c>
      <c r="D10" s="40" t="n">
        <f aca="false">D5-D9</f>
        <v>3108.3945</v>
      </c>
    </row>
    <row r="11" customFormat="false" ht="15" hidden="false" customHeight="false" outlineLevel="0" collapsed="false">
      <c r="A11" s="6" t="s">
        <v>182</v>
      </c>
      <c r="B11" s="41" t="n">
        <f aca="false">IF(B5=0,0,B10/B5)</f>
        <v>0.907860515021459</v>
      </c>
      <c r="C11" s="41" t="n">
        <f aca="false">IF(C5=0,0,C10/C5)</f>
        <v>0.89886224149433</v>
      </c>
      <c r="D11" s="41" t="n">
        <f aca="false">IF(D5=0,0,D10/D5)</f>
        <v>0.888366533295227</v>
      </c>
    </row>
    <row r="12" customFormat="false" ht="15" hidden="false" customHeight="false" outlineLevel="0" collapsed="false">
      <c r="A12" s="6" t="s">
        <v>183</v>
      </c>
      <c r="B12" s="38" t="n">
        <f aca="false">'Cost Model'!$C$17/'Cost Model'!$C$4</f>
        <v>79.7166666666667</v>
      </c>
      <c r="C12" s="38" t="n">
        <f aca="false">'Cost Model'!$C$17/'Cost Model'!$C$4</f>
        <v>79.7166666666667</v>
      </c>
      <c r="D12" s="38" t="n">
        <f aca="false">'Cost Model'!$C$17/'Cost Model'!$C$4</f>
        <v>79.7166666666667</v>
      </c>
    </row>
    <row r="13" customFormat="false" ht="15" hidden="false" customHeight="false" outlineLevel="0" collapsed="false">
      <c r="A13" s="39" t="s">
        <v>184</v>
      </c>
      <c r="B13" s="40" t="n">
        <f aca="false">B10-B12</f>
        <v>554.877833333333</v>
      </c>
      <c r="C13" s="40" t="n">
        <f aca="false">C10-C12</f>
        <v>1267.67783333333</v>
      </c>
      <c r="D13" s="40" t="n">
        <f aca="false">D10-D12</f>
        <v>3028.67783333333</v>
      </c>
    </row>
    <row r="14" customFormat="false" ht="15" hidden="false" customHeight="false" outlineLevel="0" collapsed="false">
      <c r="A14" s="6" t="s">
        <v>185</v>
      </c>
      <c r="B14" s="45" t="n">
        <f aca="false">IF(B10&lt;=0,0,ROUNDUP('Cost Model'!$B$17/B10,0))</f>
        <v>13</v>
      </c>
      <c r="C14" s="45" t="n">
        <f aca="false">IF(C10&lt;=0,0,ROUNDUP('Cost Model'!$B$17/C10,0))</f>
        <v>6</v>
      </c>
      <c r="D14" s="45" t="n">
        <f aca="false">IF(D10&lt;=0,0,ROUNDUP('Cost Model'!$B$17/D10,0))</f>
        <v>3</v>
      </c>
    </row>
    <row r="15" customFormat="false" ht="15" hidden="false" customHeight="false" outlineLevel="0" collapsed="false">
      <c r="A15" s="20"/>
      <c r="B15" s="20"/>
      <c r="C15" s="20"/>
      <c r="D15" s="20"/>
    </row>
    <row r="16" customFormat="false" ht="15" hidden="false" customHeight="false" outlineLevel="0" collapsed="false">
      <c r="A16" s="2" t="s">
        <v>186</v>
      </c>
      <c r="B16" s="20"/>
      <c r="C16" s="20"/>
      <c r="D16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187</v>
      </c>
      <c r="B1" s="20"/>
    </row>
    <row r="2" customFormat="false" ht="15" hidden="false" customHeight="false" outlineLevel="0" collapsed="false">
      <c r="A2" s="20"/>
      <c r="B2" s="20"/>
    </row>
    <row r="3" customFormat="false" ht="15" hidden="false" customHeight="false" outlineLevel="0" collapsed="false">
      <c r="A3" s="6" t="s">
        <v>188</v>
      </c>
      <c r="B3" s="6" t="s">
        <v>189</v>
      </c>
    </row>
    <row r="4" customFormat="false" ht="15" hidden="false" customHeight="false" outlineLevel="0" collapsed="false">
      <c r="A4" s="6" t="s">
        <v>190</v>
      </c>
      <c r="B4" s="6" t="s">
        <v>191</v>
      </c>
    </row>
    <row r="5" customFormat="false" ht="15" hidden="false" customHeight="false" outlineLevel="0" collapsed="false">
      <c r="A5" s="6" t="s">
        <v>192</v>
      </c>
      <c r="B5" s="6" t="s">
        <v>193</v>
      </c>
    </row>
    <row r="6" customFormat="false" ht="15" hidden="false" customHeight="false" outlineLevel="0" collapsed="false">
      <c r="A6" s="6" t="s">
        <v>194</v>
      </c>
      <c r="B6" s="6" t="s">
        <v>195</v>
      </c>
    </row>
    <row r="7" customFormat="false" ht="15" hidden="false" customHeight="false" outlineLevel="0" collapsed="false">
      <c r="A7" s="6" t="s">
        <v>196</v>
      </c>
      <c r="B7" s="6" t="s">
        <v>197</v>
      </c>
    </row>
    <row r="8" customFormat="false" ht="15" hidden="false" customHeight="false" outlineLevel="0" collapsed="false">
      <c r="A8" s="6" t="s">
        <v>198</v>
      </c>
      <c r="B8" s="6" t="s">
        <v>199</v>
      </c>
    </row>
    <row r="9" customFormat="false" ht="15" hidden="false" customHeight="false" outlineLevel="0" collapsed="false">
      <c r="A9" s="6" t="s">
        <v>200</v>
      </c>
      <c r="B9" s="6" t="s">
        <v>201</v>
      </c>
    </row>
    <row r="10" customFormat="false" ht="15" hidden="false" customHeight="false" outlineLevel="0" collapsed="false">
      <c r="A10" s="6" t="s">
        <v>202</v>
      </c>
      <c r="B10" s="6" t="s">
        <v>203</v>
      </c>
    </row>
    <row r="11" customFormat="false" ht="15" hidden="false" customHeight="false" outlineLevel="0" collapsed="false">
      <c r="A11" s="6" t="s">
        <v>204</v>
      </c>
      <c r="B11" s="6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7"/>
    <col collapsed="false" customWidth="true" hidden="false" outlineLevel="0" max="6" min="6" style="0" width="90"/>
  </cols>
  <sheetData>
    <row r="1" customFormat="false" ht="17.15" hidden="false" customHeight="false" outlineLevel="0" collapsed="false">
      <c r="A1" s="1" t="s">
        <v>206</v>
      </c>
    </row>
    <row r="2" customFormat="false" ht="15" hidden="false" customHeight="false" outlineLevel="0" collapsed="false">
      <c r="A2" s="2" t="s">
        <v>207</v>
      </c>
    </row>
    <row r="4" customFormat="false" ht="15" hidden="false" customHeight="false" outlineLevel="0" collapsed="false">
      <c r="A4" s="3" t="s">
        <v>208</v>
      </c>
      <c r="B4" s="3" t="s">
        <v>209</v>
      </c>
      <c r="C4" s="3" t="s">
        <v>210</v>
      </c>
      <c r="D4" s="3" t="s">
        <v>211</v>
      </c>
      <c r="E4" s="3" t="s">
        <v>212</v>
      </c>
      <c r="F4" s="3" t="s">
        <v>67</v>
      </c>
    </row>
    <row r="5" customFormat="false" ht="15" hidden="false" customHeight="false" outlineLevel="0" collapsed="false">
      <c r="A5" s="6" t="s">
        <v>213</v>
      </c>
      <c r="B5" s="23" t="n">
        <v>0.55</v>
      </c>
      <c r="C5" s="23" t="n">
        <v>0.15</v>
      </c>
      <c r="D5" s="23" t="n">
        <v>0.25</v>
      </c>
      <c r="E5" s="23" t="n">
        <v>0.05</v>
      </c>
      <c r="F5" s="41" t="n">
        <f aca="false">SUM(B5:E5)</f>
        <v>1</v>
      </c>
      <c r="G5" s="46" t="s">
        <v>214</v>
      </c>
    </row>
    <row r="6" customFormat="false" ht="15" hidden="false" customHeight="false" outlineLevel="0" collapsed="false">
      <c r="A6" s="6" t="s">
        <v>215</v>
      </c>
      <c r="B6" s="26" t="n">
        <v>350</v>
      </c>
      <c r="C6" s="26" t="n">
        <v>250</v>
      </c>
      <c r="D6" s="38" t="n">
        <f aca="false">D8*D7*1000</f>
        <v>1250</v>
      </c>
      <c r="E6" s="26" t="n">
        <v>150</v>
      </c>
      <c r="F6" s="6" t="s">
        <v>216</v>
      </c>
    </row>
    <row r="7" customFormat="false" ht="15" hidden="false" customHeight="false" outlineLevel="0" collapsed="false">
      <c r="A7" s="6" t="s">
        <v>217</v>
      </c>
      <c r="B7" s="27" t="n">
        <v>0.015</v>
      </c>
      <c r="C7" s="27" t="n">
        <v>0.03</v>
      </c>
      <c r="D7" s="27" t="n">
        <v>0.05</v>
      </c>
      <c r="E7" s="27" t="n">
        <v>0.005</v>
      </c>
      <c r="F7" s="6" t="s">
        <v>218</v>
      </c>
    </row>
    <row r="8" customFormat="false" ht="15" hidden="false" customHeight="false" outlineLevel="0" collapsed="false">
      <c r="A8" s="6" t="s">
        <v>219</v>
      </c>
      <c r="B8" s="44" t="n">
        <f aca="false">B6/(1000*B7)</f>
        <v>23.3333333333333</v>
      </c>
      <c r="C8" s="44" t="n">
        <f aca="false">C6/(1000*C7)</f>
        <v>8.33333333333333</v>
      </c>
      <c r="D8" s="47" t="n">
        <v>25</v>
      </c>
      <c r="E8" s="44" t="n">
        <f aca="false">E6/(1000*E7)</f>
        <v>30</v>
      </c>
      <c r="F8" s="6" t="s">
        <v>220</v>
      </c>
    </row>
    <row r="9" customFormat="false" ht="15" hidden="false" customHeight="false" outlineLevel="0" collapsed="false">
      <c r="A9" s="6" t="s">
        <v>221</v>
      </c>
      <c r="B9" s="27" t="n">
        <v>0.03</v>
      </c>
      <c r="C9" s="27" t="n">
        <v>0.08</v>
      </c>
      <c r="D9" s="27" t="n">
        <v>0.06</v>
      </c>
      <c r="E9" s="23" t="n">
        <v>0</v>
      </c>
      <c r="F9" s="6" t="s">
        <v>222</v>
      </c>
    </row>
    <row r="10" customFormat="false" ht="15" hidden="false" customHeight="false" outlineLevel="0" collapsed="false">
      <c r="A10" s="6" t="s">
        <v>223</v>
      </c>
      <c r="B10" s="27" t="n">
        <v>0.15</v>
      </c>
      <c r="C10" s="27" t="n">
        <v>0.15</v>
      </c>
      <c r="D10" s="27" t="n">
        <v>0.2</v>
      </c>
      <c r="E10" s="23" t="n">
        <v>0.15</v>
      </c>
      <c r="F10" s="6" t="s">
        <v>224</v>
      </c>
    </row>
    <row r="11" customFormat="false" ht="15" hidden="false" customHeight="false" outlineLevel="0" collapsed="false">
      <c r="A11" s="6" t="s">
        <v>225</v>
      </c>
      <c r="B11" s="38" t="n">
        <f aca="false">IFERROR(B8/B9,0)</f>
        <v>777.777777777778</v>
      </c>
      <c r="C11" s="38" t="n">
        <f aca="false">IFERROR(C8/C9,0)</f>
        <v>104.166666666667</v>
      </c>
      <c r="D11" s="38" t="n">
        <f aca="false">IFERROR(D8/D9,0)</f>
        <v>416.666666666667</v>
      </c>
      <c r="E11" s="38" t="n">
        <f aca="false">IFERROR(E8/E9,0)</f>
        <v>0</v>
      </c>
      <c r="F11" s="6" t="s">
        <v>226</v>
      </c>
    </row>
    <row r="12" customFormat="false" ht="15" hidden="false" customHeight="false" outlineLevel="0" collapsed="false">
      <c r="A12" s="6" t="s">
        <v>227</v>
      </c>
      <c r="B12" s="38" t="n">
        <f aca="false">IFERROR(B11/B10,0)</f>
        <v>5185.18518518519</v>
      </c>
      <c r="C12" s="38" t="n">
        <f aca="false">IFERROR(C11/C10,0)</f>
        <v>694.444444444445</v>
      </c>
      <c r="D12" s="38" t="n">
        <f aca="false">IFERROR(D11/D10,0)</f>
        <v>2083.33333333333</v>
      </c>
      <c r="E12" s="38" t="n">
        <f aca="false">IFERROR(E11/E10,0)</f>
        <v>0</v>
      </c>
    </row>
    <row r="13" customFormat="false" ht="15" hidden="false" customHeight="false" outlineLevel="0" collapsed="false">
      <c r="A13" s="6" t="s">
        <v>228</v>
      </c>
      <c r="B13" s="48" t="n">
        <f aca="false">IFERROR(Inputs!$B$22/B12,0)</f>
        <v>0.235092857142857</v>
      </c>
      <c r="C13" s="48" t="n">
        <f aca="false">IFERROR(Inputs!$B$22/C12,0)</f>
        <v>1.75536</v>
      </c>
      <c r="D13" s="48" t="n">
        <f aca="false">IFERROR(Inputs!$B$22/D12,0)</f>
        <v>0.58512</v>
      </c>
      <c r="E13" s="48" t="n">
        <f aca="false">IFERROR(Inputs!$B$22/E12,0)</f>
        <v>0</v>
      </c>
      <c r="F13" s="6" t="s">
        <v>229</v>
      </c>
    </row>
    <row r="14" customFormat="false" ht="15" hidden="false" customHeight="false" outlineLevel="0" collapsed="false">
      <c r="A14" s="6"/>
    </row>
    <row r="15" customFormat="false" ht="15" hidden="false" customHeight="false" outlineLevel="0" collapsed="false">
      <c r="A15" s="49" t="s">
        <v>230</v>
      </c>
      <c r="B15" s="5"/>
      <c r="C15" s="5"/>
      <c r="D15" s="5"/>
      <c r="E15" s="5"/>
      <c r="F15" s="5"/>
    </row>
    <row r="16" customFormat="false" ht="15" hidden="false" customHeight="false" outlineLevel="0" collapsed="false">
      <c r="A16" s="6" t="s">
        <v>231</v>
      </c>
      <c r="B16" s="27" t="n">
        <v>1</v>
      </c>
      <c r="F16" s="6" t="s">
        <v>232</v>
      </c>
    </row>
    <row r="17" customFormat="false" ht="15" hidden="false" customHeight="false" outlineLevel="0" collapsed="false">
      <c r="A17" s="6" t="s">
        <v>233</v>
      </c>
      <c r="B17" s="27" t="n">
        <v>0.25</v>
      </c>
      <c r="F17" s="6" t="s">
        <v>234</v>
      </c>
    </row>
    <row r="18" customFormat="false" ht="15" hidden="false" customHeight="false" outlineLevel="0" collapsed="false">
      <c r="A18" s="6" t="s">
        <v>235</v>
      </c>
      <c r="B18" s="27" t="n">
        <v>0.04</v>
      </c>
      <c r="F18" s="6" t="s">
        <v>236</v>
      </c>
    </row>
    <row r="19" customFormat="false" ht="15" hidden="false" customHeight="false" outlineLevel="0" collapsed="false">
      <c r="A19" s="6" t="s">
        <v>237</v>
      </c>
      <c r="B19" s="27" t="n">
        <v>0.05</v>
      </c>
      <c r="F19" s="6" t="s">
        <v>238</v>
      </c>
    </row>
    <row r="20" customFormat="false" ht="15" hidden="false" customHeight="false" outlineLevel="0" collapsed="false">
      <c r="A20" s="6" t="s">
        <v>239</v>
      </c>
      <c r="B20" s="38" t="n">
        <f aca="false">Inputs!$B$22*(1-(1-B18)^12)/B18</f>
        <v>11802.6701453753</v>
      </c>
      <c r="F20" s="46" t="s">
        <v>240</v>
      </c>
    </row>
    <row r="21" customFormat="false" ht="15" hidden="false" customHeight="false" outlineLevel="0" collapsed="false">
      <c r="A21" s="6" t="s">
        <v>241</v>
      </c>
      <c r="B21" s="38" t="n">
        <f aca="false">(Inputs!$B$22*(1-Inputs!$B$6)-((1-Inputs!$B$27)*Inputs!$D$22*Inputs!$B$26*Inputs!$B$25+Inputs!$B$30/1000*Inputs!$B$31*Inputs!$B$5))/B18</f>
        <v>27395.3625</v>
      </c>
      <c r="F21" s="46" t="s">
        <v>242</v>
      </c>
    </row>
    <row r="22" customFormat="false" ht="15" hidden="false" customHeight="false" outlineLevel="0" collapsed="false">
      <c r="A22" s="6" t="s">
        <v>243</v>
      </c>
      <c r="B22" s="38" t="n">
        <f aca="false">B21*B18</f>
        <v>1095.8145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4" min="2" style="0" width="12"/>
    <col collapsed="false" customWidth="true" hidden="false" outlineLevel="0" max="15" min="15" style="0" width="70"/>
  </cols>
  <sheetData>
    <row r="1" customFormat="false" ht="17.15" hidden="false" customHeight="false" outlineLevel="0" collapsed="false">
      <c r="A1" s="1" t="s">
        <v>244</v>
      </c>
    </row>
    <row r="2" customFormat="false" ht="15" hidden="false" customHeight="false" outlineLevel="0" collapsed="false">
      <c r="A2" s="2" t="s">
        <v>245</v>
      </c>
    </row>
    <row r="4" customFormat="false" ht="15" hidden="false" customHeight="false" outlineLevel="0" collapsed="false">
      <c r="A4" s="3" t="s">
        <v>246</v>
      </c>
      <c r="B4" s="50" t="s">
        <v>247</v>
      </c>
      <c r="C4" s="50" t="s">
        <v>248</v>
      </c>
      <c r="D4" s="50" t="s">
        <v>249</v>
      </c>
      <c r="E4" s="50" t="s">
        <v>250</v>
      </c>
      <c r="F4" s="50" t="s">
        <v>251</v>
      </c>
      <c r="G4" s="50" t="s">
        <v>252</v>
      </c>
      <c r="H4" s="50" t="s">
        <v>253</v>
      </c>
      <c r="I4" s="50" t="s">
        <v>254</v>
      </c>
      <c r="J4" s="50" t="s">
        <v>255</v>
      </c>
      <c r="K4" s="50" t="s">
        <v>256</v>
      </c>
      <c r="L4" s="50" t="s">
        <v>257</v>
      </c>
      <c r="M4" s="50" t="s">
        <v>258</v>
      </c>
      <c r="N4" s="3" t="s">
        <v>259</v>
      </c>
      <c r="O4" s="3" t="s">
        <v>260</v>
      </c>
    </row>
    <row r="5" customFormat="false" ht="15" hidden="false" customHeight="false" outlineLevel="0" collapsed="false">
      <c r="A5" s="4" t="s">
        <v>261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customFormat="false" ht="15" hidden="false" customHeight="false" outlineLevel="0" collapsed="false">
      <c r="A6" s="0" t="s">
        <v>262</v>
      </c>
      <c r="B6" s="25" t="n">
        <v>15000</v>
      </c>
      <c r="C6" s="25" t="n">
        <v>25000</v>
      </c>
      <c r="D6" s="25" t="n">
        <v>50000</v>
      </c>
      <c r="E6" s="25" t="n">
        <v>70000</v>
      </c>
      <c r="F6" s="25" t="n">
        <v>60000</v>
      </c>
      <c r="G6" s="25" t="n">
        <v>60000</v>
      </c>
      <c r="H6" s="25" t="n">
        <v>80000</v>
      </c>
      <c r="I6" s="25" t="n">
        <v>70000</v>
      </c>
      <c r="J6" s="25" t="n">
        <v>90000</v>
      </c>
      <c r="K6" s="25" t="n">
        <v>100000</v>
      </c>
      <c r="L6" s="25" t="n">
        <v>110000</v>
      </c>
      <c r="M6" s="25" t="n">
        <v>120000</v>
      </c>
      <c r="N6" s="51" t="n">
        <f aca="false">SUM(B6:M6)</f>
        <v>850000</v>
      </c>
      <c r="O6" s="46" t="s">
        <v>263</v>
      </c>
    </row>
    <row r="7" customFormat="false" ht="15" hidden="false" customHeight="false" outlineLevel="0" collapsed="false">
      <c r="A7" s="6" t="s">
        <v>264</v>
      </c>
      <c r="B7" s="7" t="n">
        <f aca="false">B$6*'Ad Benchmarks'!$B$5</f>
        <v>8250</v>
      </c>
      <c r="C7" s="7" t="n">
        <f aca="false">C$6*'Ad Benchmarks'!$B$5</f>
        <v>13750</v>
      </c>
      <c r="D7" s="7" t="n">
        <f aca="false">D$6*'Ad Benchmarks'!$B$5</f>
        <v>27500</v>
      </c>
      <c r="E7" s="7" t="n">
        <f aca="false">E$6*'Ad Benchmarks'!$B$5</f>
        <v>38500</v>
      </c>
      <c r="F7" s="7" t="n">
        <f aca="false">F$6*'Ad Benchmarks'!$B$5</f>
        <v>33000</v>
      </c>
      <c r="G7" s="7" t="n">
        <f aca="false">G$6*'Ad Benchmarks'!$B$5</f>
        <v>33000</v>
      </c>
      <c r="H7" s="7" t="n">
        <f aca="false">H$6*'Ad Benchmarks'!$B$5</f>
        <v>44000</v>
      </c>
      <c r="I7" s="7" t="n">
        <f aca="false">I$6*'Ad Benchmarks'!$B$5</f>
        <v>38500</v>
      </c>
      <c r="J7" s="7" t="n">
        <f aca="false">J$6*'Ad Benchmarks'!$B$5</f>
        <v>49500</v>
      </c>
      <c r="K7" s="7" t="n">
        <f aca="false">K$6*'Ad Benchmarks'!$B$5</f>
        <v>55000</v>
      </c>
      <c r="L7" s="7" t="n">
        <f aca="false">L$6*'Ad Benchmarks'!$B$5</f>
        <v>60500</v>
      </c>
      <c r="M7" s="7" t="n">
        <f aca="false">M$6*'Ad Benchmarks'!$B$5</f>
        <v>66000</v>
      </c>
      <c r="N7" s="51" t="n">
        <f aca="false">SUM(B7:M7)</f>
        <v>467500</v>
      </c>
    </row>
    <row r="8" customFormat="false" ht="15" hidden="false" customHeight="false" outlineLevel="0" collapsed="false">
      <c r="A8" s="6" t="s">
        <v>265</v>
      </c>
      <c r="B8" s="7" t="n">
        <f aca="false">B$6*'Ad Benchmarks'!$C$5</f>
        <v>2250</v>
      </c>
      <c r="C8" s="7" t="n">
        <f aca="false">C$6*'Ad Benchmarks'!$C$5</f>
        <v>3750</v>
      </c>
      <c r="D8" s="7" t="n">
        <f aca="false">D$6*'Ad Benchmarks'!$C$5</f>
        <v>7500</v>
      </c>
      <c r="E8" s="7" t="n">
        <f aca="false">E$6*'Ad Benchmarks'!$C$5</f>
        <v>10500</v>
      </c>
      <c r="F8" s="7" t="n">
        <f aca="false">F$6*'Ad Benchmarks'!$C$5</f>
        <v>9000</v>
      </c>
      <c r="G8" s="7" t="n">
        <f aca="false">G$6*'Ad Benchmarks'!$C$5</f>
        <v>9000</v>
      </c>
      <c r="H8" s="7" t="n">
        <f aca="false">H$6*'Ad Benchmarks'!$C$5</f>
        <v>12000</v>
      </c>
      <c r="I8" s="7" t="n">
        <f aca="false">I$6*'Ad Benchmarks'!$C$5</f>
        <v>10500</v>
      </c>
      <c r="J8" s="7" t="n">
        <f aca="false">J$6*'Ad Benchmarks'!$C$5</f>
        <v>13500</v>
      </c>
      <c r="K8" s="7" t="n">
        <f aca="false">K$6*'Ad Benchmarks'!$C$5</f>
        <v>15000</v>
      </c>
      <c r="L8" s="7" t="n">
        <f aca="false">L$6*'Ad Benchmarks'!$C$5</f>
        <v>16500</v>
      </c>
      <c r="M8" s="7" t="n">
        <f aca="false">M$6*'Ad Benchmarks'!$C$5</f>
        <v>18000</v>
      </c>
      <c r="N8" s="51" t="n">
        <f aca="false">SUM(B8:M8)</f>
        <v>127500</v>
      </c>
    </row>
    <row r="9" customFormat="false" ht="15" hidden="false" customHeight="false" outlineLevel="0" collapsed="false">
      <c r="A9" s="6" t="s">
        <v>266</v>
      </c>
      <c r="B9" s="7" t="n">
        <f aca="false">B$6*'Ad Benchmarks'!$D$5</f>
        <v>3750</v>
      </c>
      <c r="C9" s="7" t="n">
        <f aca="false">C$6*'Ad Benchmarks'!$D$5</f>
        <v>6250</v>
      </c>
      <c r="D9" s="7" t="n">
        <f aca="false">D$6*'Ad Benchmarks'!$D$5</f>
        <v>12500</v>
      </c>
      <c r="E9" s="7" t="n">
        <f aca="false">E$6*'Ad Benchmarks'!$D$5</f>
        <v>17500</v>
      </c>
      <c r="F9" s="7" t="n">
        <f aca="false">F$6*'Ad Benchmarks'!$D$5</f>
        <v>15000</v>
      </c>
      <c r="G9" s="7" t="n">
        <f aca="false">G$6*'Ad Benchmarks'!$D$5</f>
        <v>15000</v>
      </c>
      <c r="H9" s="7" t="n">
        <f aca="false">H$6*'Ad Benchmarks'!$D$5</f>
        <v>20000</v>
      </c>
      <c r="I9" s="7" t="n">
        <f aca="false">I$6*'Ad Benchmarks'!$D$5</f>
        <v>17500</v>
      </c>
      <c r="J9" s="7" t="n">
        <f aca="false">J$6*'Ad Benchmarks'!$D$5</f>
        <v>22500</v>
      </c>
      <c r="K9" s="7" t="n">
        <f aca="false">K$6*'Ad Benchmarks'!$D$5</f>
        <v>25000</v>
      </c>
      <c r="L9" s="7" t="n">
        <f aca="false">L$6*'Ad Benchmarks'!$D$5</f>
        <v>27500</v>
      </c>
      <c r="M9" s="7" t="n">
        <f aca="false">M$6*'Ad Benchmarks'!$D$5</f>
        <v>30000</v>
      </c>
      <c r="N9" s="51" t="n">
        <f aca="false">SUM(B9:M9)</f>
        <v>212500</v>
      </c>
    </row>
    <row r="10" customFormat="false" ht="15" hidden="false" customHeight="false" outlineLevel="0" collapsed="false">
      <c r="A10" s="6" t="s">
        <v>267</v>
      </c>
      <c r="B10" s="7" t="n">
        <f aca="false">B$6*'Ad Benchmarks'!$E$5</f>
        <v>750</v>
      </c>
      <c r="C10" s="7" t="n">
        <f aca="false">C$6*'Ad Benchmarks'!$E$5</f>
        <v>1250</v>
      </c>
      <c r="D10" s="7" t="n">
        <f aca="false">D$6*'Ad Benchmarks'!$E$5</f>
        <v>2500</v>
      </c>
      <c r="E10" s="7" t="n">
        <f aca="false">E$6*'Ad Benchmarks'!$E$5</f>
        <v>3500</v>
      </c>
      <c r="F10" s="7" t="n">
        <f aca="false">F$6*'Ad Benchmarks'!$E$5</f>
        <v>3000</v>
      </c>
      <c r="G10" s="7" t="n">
        <f aca="false">G$6*'Ad Benchmarks'!$E$5</f>
        <v>3000</v>
      </c>
      <c r="H10" s="7" t="n">
        <f aca="false">H$6*'Ad Benchmarks'!$E$5</f>
        <v>4000</v>
      </c>
      <c r="I10" s="7" t="n">
        <f aca="false">I$6*'Ad Benchmarks'!$E$5</f>
        <v>3500</v>
      </c>
      <c r="J10" s="7" t="n">
        <f aca="false">J$6*'Ad Benchmarks'!$E$5</f>
        <v>4500</v>
      </c>
      <c r="K10" s="7" t="n">
        <f aca="false">K$6*'Ad Benchmarks'!$E$5</f>
        <v>5000</v>
      </c>
      <c r="L10" s="7" t="n">
        <f aca="false">L$6*'Ad Benchmarks'!$E$5</f>
        <v>5500</v>
      </c>
      <c r="M10" s="7" t="n">
        <f aca="false">M$6*'Ad Benchmarks'!$E$5</f>
        <v>6000</v>
      </c>
      <c r="N10" s="51" t="n">
        <f aca="false">SUM(B10:M10)</f>
        <v>42500</v>
      </c>
    </row>
    <row r="11" customFormat="false" ht="15" hidden="false" customHeight="false" outlineLevel="0" collapsed="false">
      <c r="A11" s="4" t="s">
        <v>268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customFormat="false" ht="15" hidden="false" customHeight="false" outlineLevel="0" collapsed="false">
      <c r="A12" s="6" t="s">
        <v>269</v>
      </c>
      <c r="B12" s="25" t="n">
        <v>15000</v>
      </c>
      <c r="C12" s="25" t="n">
        <v>15000</v>
      </c>
      <c r="D12" s="25" t="n">
        <v>15000</v>
      </c>
      <c r="E12" s="25" t="n">
        <v>15000</v>
      </c>
      <c r="F12" s="25" t="n">
        <v>15000</v>
      </c>
      <c r="G12" s="25" t="n">
        <v>15000</v>
      </c>
      <c r="H12" s="25" t="n">
        <v>15000</v>
      </c>
      <c r="I12" s="25" t="n">
        <v>15000</v>
      </c>
      <c r="J12" s="25" t="n">
        <v>15000</v>
      </c>
      <c r="K12" s="25" t="n">
        <v>15000</v>
      </c>
      <c r="L12" s="25" t="n">
        <v>15000</v>
      </c>
      <c r="M12" s="25" t="n">
        <v>15000</v>
      </c>
      <c r="N12" s="51" t="n">
        <f aca="false">SUM(B12:M12)</f>
        <v>180000</v>
      </c>
      <c r="O12" s="46" t="s">
        <v>270</v>
      </c>
    </row>
    <row r="13" customFormat="false" ht="15" hidden="false" customHeight="false" outlineLevel="0" collapsed="false">
      <c r="A13" s="6" t="s">
        <v>271</v>
      </c>
      <c r="B13" s="25" t="n">
        <v>1000</v>
      </c>
      <c r="C13" s="25" t="n">
        <v>1000</v>
      </c>
      <c r="D13" s="25" t="n">
        <v>1000</v>
      </c>
      <c r="E13" s="25" t="n">
        <v>1000</v>
      </c>
      <c r="F13" s="25" t="n">
        <v>1000</v>
      </c>
      <c r="G13" s="25" t="n">
        <v>1000</v>
      </c>
      <c r="H13" s="25" t="n">
        <v>1000</v>
      </c>
      <c r="I13" s="25" t="n">
        <v>1000</v>
      </c>
      <c r="J13" s="25" t="n">
        <v>1000</v>
      </c>
      <c r="K13" s="25" t="n">
        <v>1000</v>
      </c>
      <c r="L13" s="25" t="n">
        <v>1000</v>
      </c>
      <c r="M13" s="25" t="n">
        <v>1000</v>
      </c>
      <c r="N13" s="51" t="n">
        <f aca="false">SUM(B13:M13)</f>
        <v>12000</v>
      </c>
      <c r="O13" s="46" t="s">
        <v>272</v>
      </c>
    </row>
    <row r="14" customFormat="false" ht="15" hidden="false" customHeight="false" outlineLevel="0" collapsed="false">
      <c r="A14" s="6" t="s">
        <v>273</v>
      </c>
      <c r="B14" s="25" t="n">
        <v>0</v>
      </c>
      <c r="C14" s="25" t="n">
        <v>0</v>
      </c>
      <c r="D14" s="25" t="n">
        <v>10000</v>
      </c>
      <c r="E14" s="25" t="n">
        <v>10000</v>
      </c>
      <c r="F14" s="25" t="n">
        <v>10000</v>
      </c>
      <c r="G14" s="25" t="n">
        <v>10000</v>
      </c>
      <c r="H14" s="25" t="n">
        <v>10000</v>
      </c>
      <c r="I14" s="25" t="n">
        <v>10000</v>
      </c>
      <c r="J14" s="25" t="n">
        <v>10000</v>
      </c>
      <c r="K14" s="25" t="n">
        <v>10000</v>
      </c>
      <c r="L14" s="25" t="n">
        <v>10000</v>
      </c>
      <c r="M14" s="25" t="n">
        <v>10000</v>
      </c>
      <c r="N14" s="51" t="n">
        <f aca="false">SUM(B14:M14)</f>
        <v>100000</v>
      </c>
      <c r="O14" s="46" t="s">
        <v>274</v>
      </c>
    </row>
    <row r="15" customFormat="false" ht="15" hidden="false" customHeight="false" outlineLevel="0" collapsed="false">
      <c r="A15" s="6" t="s">
        <v>275</v>
      </c>
      <c r="B15" s="25" t="n">
        <v>0</v>
      </c>
      <c r="C15" s="25" t="n">
        <v>0</v>
      </c>
      <c r="D15" s="25" t="n">
        <v>0</v>
      </c>
      <c r="E15" s="25" t="n">
        <v>30000</v>
      </c>
      <c r="F15" s="25" t="n">
        <v>0</v>
      </c>
      <c r="G15" s="25" t="n">
        <v>20000</v>
      </c>
      <c r="H15" s="25" t="n">
        <v>0</v>
      </c>
      <c r="I15" s="25" t="n">
        <v>0</v>
      </c>
      <c r="J15" s="25" t="n">
        <v>20000</v>
      </c>
      <c r="K15" s="25" t="n">
        <v>0</v>
      </c>
      <c r="L15" s="25" t="n">
        <v>20000</v>
      </c>
      <c r="M15" s="25" t="n">
        <v>0</v>
      </c>
      <c r="N15" s="51" t="n">
        <f aca="false">SUM(B15:M15)</f>
        <v>90000</v>
      </c>
      <c r="O15" s="46" t="s">
        <v>276</v>
      </c>
    </row>
    <row r="16" customFormat="false" ht="15" hidden="false" customHeight="false" outlineLevel="0" collapsed="false">
      <c r="A16" s="6" t="s">
        <v>277</v>
      </c>
      <c r="B16" s="25" t="n">
        <v>6990</v>
      </c>
      <c r="C16" s="25" t="n">
        <v>6990</v>
      </c>
      <c r="D16" s="25" t="n">
        <v>6990</v>
      </c>
      <c r="E16" s="25" t="n">
        <v>6990</v>
      </c>
      <c r="F16" s="25" t="n">
        <v>0</v>
      </c>
      <c r="G16" s="25" t="n">
        <v>0</v>
      </c>
      <c r="H16" s="25" t="n">
        <v>0</v>
      </c>
      <c r="I16" s="25" t="n">
        <v>0</v>
      </c>
      <c r="J16" s="25" t="n">
        <v>0</v>
      </c>
      <c r="K16" s="25" t="n">
        <v>0</v>
      </c>
      <c r="L16" s="25" t="n">
        <v>0</v>
      </c>
      <c r="M16" s="25" t="n">
        <v>0</v>
      </c>
      <c r="N16" s="51" t="n">
        <f aca="false">SUM(B16:M16)</f>
        <v>27960</v>
      </c>
      <c r="O16" s="46" t="s">
        <v>278</v>
      </c>
    </row>
    <row r="17" customFormat="false" ht="15" hidden="false" customHeight="false" outlineLevel="0" collapsed="false">
      <c r="A17" s="0" t="s">
        <v>279</v>
      </c>
      <c r="B17" s="7" t="n">
        <f aca="false">Forecast!B25*'Ad Benchmarks'!$B$19</f>
        <v>0</v>
      </c>
      <c r="C17" s="7" t="n">
        <f aca="false">Forecast!C25*'Ad Benchmarks'!$B$19</f>
        <v>708.913803571429</v>
      </c>
      <c r="D17" s="7" t="n">
        <f aca="false">Forecast!D25*'Ad Benchmarks'!$B$19</f>
        <v>1735.10109071429</v>
      </c>
      <c r="E17" s="7" t="n">
        <f aca="false">Forecast!E25*'Ad Benchmarks'!$B$19</f>
        <v>3622.40972565714</v>
      </c>
      <c r="F17" s="7" t="n">
        <f aca="false">Forecast!F25*'Ad Benchmarks'!$B$19</f>
        <v>6125.48608663086</v>
      </c>
      <c r="G17" s="7" t="n">
        <f aca="false">Forecast!G25*'Ad Benchmarks'!$B$19</f>
        <v>8182.80935745134</v>
      </c>
      <c r="H17" s="7" t="n">
        <f aca="false">Forecast!H25*'Ad Benchmarks'!$B$19</f>
        <v>10234.027197439</v>
      </c>
      <c r="I17" s="7" t="n">
        <f aca="false">Forecast!I25*'Ad Benchmarks'!$B$19</f>
        <v>12894.4563952557</v>
      </c>
      <c r="J17" s="7" t="n">
        <f aca="false">Forecast!J25*'Ad Benchmarks'!$B$19</f>
        <v>15179.0258894455</v>
      </c>
      <c r="K17" s="7" t="n">
        <f aca="false">Forecast!K25*'Ad Benchmarks'!$B$19</f>
        <v>18063.4726752962</v>
      </c>
      <c r="L17" s="7" t="n">
        <f aca="false">Forecast!L25*'Ad Benchmarks'!$B$19</f>
        <v>21254.3591254273</v>
      </c>
      <c r="M17" s="7" t="n">
        <f aca="false">Forecast!M25*'Ad Benchmarks'!$B$19</f>
        <v>24739.4276532673</v>
      </c>
      <c r="N17" s="51" t="n">
        <f aca="false">SUM(B17:M17)</f>
        <v>122739.489000156</v>
      </c>
      <c r="O17" s="46" t="s">
        <v>280</v>
      </c>
    </row>
    <row r="18" customFormat="false" ht="15" hidden="false" customHeight="false" outlineLevel="0" collapsed="false">
      <c r="A18" s="39" t="s">
        <v>7</v>
      </c>
      <c r="B18" s="40" t="n">
        <f aca="false">B6+SUM(B12:B17)</f>
        <v>37990</v>
      </c>
      <c r="C18" s="40" t="n">
        <f aca="false">C6+SUM(C12:C17)</f>
        <v>48698.9138035714</v>
      </c>
      <c r="D18" s="40" t="n">
        <f aca="false">D6+SUM(D12:D17)</f>
        <v>84725.1010907143</v>
      </c>
      <c r="E18" s="40" t="n">
        <f aca="false">E6+SUM(E12:E17)</f>
        <v>136612.409725657</v>
      </c>
      <c r="F18" s="40" t="n">
        <f aca="false">F6+SUM(F12:F17)</f>
        <v>92125.4860866309</v>
      </c>
      <c r="G18" s="40" t="n">
        <f aca="false">G6+SUM(G12:G17)</f>
        <v>114182.809357451</v>
      </c>
      <c r="H18" s="40" t="n">
        <f aca="false">H6+SUM(H12:H17)</f>
        <v>116234.027197439</v>
      </c>
      <c r="I18" s="40" t="n">
        <f aca="false">I6+SUM(I12:I17)</f>
        <v>108894.456395256</v>
      </c>
      <c r="J18" s="40" t="n">
        <f aca="false">J6+SUM(J12:J17)</f>
        <v>151179.025889446</v>
      </c>
      <c r="K18" s="40" t="n">
        <f aca="false">K6+SUM(K12:K17)</f>
        <v>144063.472675296</v>
      </c>
      <c r="L18" s="40" t="n">
        <f aca="false">L6+SUM(L12:L17)</f>
        <v>177254.359125427</v>
      </c>
      <c r="M18" s="40" t="n">
        <f aca="false">M6+SUM(M12:M17)</f>
        <v>170739.427653267</v>
      </c>
      <c r="N18" s="40" t="n">
        <f aca="false">SUM(B18:M18)</f>
        <v>1382699.48900016</v>
      </c>
    </row>
    <row r="19" customFormat="false" ht="15" hidden="false" customHeight="false" outlineLevel="0" collapsed="false">
      <c r="A19" s="0" t="s">
        <v>281</v>
      </c>
      <c r="B19" s="38" t="n">
        <f aca="false">B7+B8</f>
        <v>10500</v>
      </c>
      <c r="C19" s="38" t="n">
        <f aca="false">C7+C8</f>
        <v>17500</v>
      </c>
      <c r="D19" s="38" t="n">
        <f aca="false">D7+D8</f>
        <v>35000</v>
      </c>
      <c r="E19" s="38" t="n">
        <f aca="false">E7+E8</f>
        <v>49000</v>
      </c>
      <c r="F19" s="38" t="n">
        <f aca="false">F7+F8</f>
        <v>42000</v>
      </c>
      <c r="G19" s="38" t="n">
        <f aca="false">G7+G8</f>
        <v>42000</v>
      </c>
      <c r="H19" s="38" t="n">
        <f aca="false">H7+H8</f>
        <v>56000</v>
      </c>
      <c r="I19" s="38" t="n">
        <f aca="false">I7+I8</f>
        <v>49000</v>
      </c>
      <c r="J19" s="38" t="n">
        <f aca="false">J7+J8</f>
        <v>63000</v>
      </c>
      <c r="K19" s="38" t="n">
        <f aca="false">K7+K8</f>
        <v>70000</v>
      </c>
      <c r="L19" s="38" t="n">
        <f aca="false">L7+L8</f>
        <v>77000</v>
      </c>
      <c r="M19" s="38" t="n">
        <f aca="false">M7+M8</f>
        <v>84000</v>
      </c>
      <c r="N19" s="38" t="n">
        <f aca="false">N7+N8</f>
        <v>595000</v>
      </c>
    </row>
    <row r="20" customFormat="false" ht="15" hidden="false" customHeight="false" outlineLevel="0" collapsed="false">
      <c r="A20" s="0" t="s">
        <v>282</v>
      </c>
      <c r="B20" s="38" t="n">
        <f aca="false">B9+B10</f>
        <v>4500</v>
      </c>
      <c r="C20" s="38" t="n">
        <f aca="false">C9+C10</f>
        <v>7500</v>
      </c>
      <c r="D20" s="38" t="n">
        <f aca="false">D9+D10</f>
        <v>15000</v>
      </c>
      <c r="E20" s="38" t="n">
        <f aca="false">E9+E10</f>
        <v>21000</v>
      </c>
      <c r="F20" s="38" t="n">
        <f aca="false">F9+F10</f>
        <v>18000</v>
      </c>
      <c r="G20" s="38" t="n">
        <f aca="false">G9+G10</f>
        <v>18000</v>
      </c>
      <c r="H20" s="38" t="n">
        <f aca="false">H9+H10</f>
        <v>24000</v>
      </c>
      <c r="I20" s="38" t="n">
        <f aca="false">I9+I10</f>
        <v>21000</v>
      </c>
      <c r="J20" s="38" t="n">
        <f aca="false">J9+J10</f>
        <v>27000</v>
      </c>
      <c r="K20" s="38" t="n">
        <f aca="false">K9+K10</f>
        <v>30000</v>
      </c>
      <c r="L20" s="38" t="n">
        <f aca="false">L9+L10</f>
        <v>33000</v>
      </c>
      <c r="M20" s="38" t="n">
        <f aca="false">M9+M10</f>
        <v>36000</v>
      </c>
      <c r="N20" s="38" t="n">
        <f aca="false">N9+N10</f>
        <v>255000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4" min="2" style="0" width="12"/>
  </cols>
  <sheetData>
    <row r="1" customFormat="false" ht="17.15" hidden="false" customHeight="false" outlineLevel="0" collapsed="false">
      <c r="A1" s="1" t="s">
        <v>283</v>
      </c>
    </row>
    <row r="2" customFormat="false" ht="15" hidden="false" customHeight="false" outlineLevel="0" collapsed="false">
      <c r="A2" s="2" t="s">
        <v>284</v>
      </c>
    </row>
    <row r="4" customFormat="false" ht="15" hidden="false" customHeight="false" outlineLevel="0" collapsed="false">
      <c r="A4" s="3" t="s">
        <v>246</v>
      </c>
      <c r="B4" s="50" t="s">
        <v>247</v>
      </c>
      <c r="C4" s="50" t="s">
        <v>248</v>
      </c>
      <c r="D4" s="50" t="s">
        <v>249</v>
      </c>
      <c r="E4" s="50" t="s">
        <v>250</v>
      </c>
      <c r="F4" s="50" t="s">
        <v>251</v>
      </c>
      <c r="G4" s="50" t="s">
        <v>252</v>
      </c>
      <c r="H4" s="50" t="s">
        <v>253</v>
      </c>
      <c r="I4" s="50" t="s">
        <v>254</v>
      </c>
      <c r="J4" s="50" t="s">
        <v>255</v>
      </c>
      <c r="K4" s="50" t="s">
        <v>256</v>
      </c>
      <c r="L4" s="50" t="s">
        <v>257</v>
      </c>
      <c r="M4" s="50" t="s">
        <v>258</v>
      </c>
      <c r="N4" s="3" t="s">
        <v>259</v>
      </c>
    </row>
    <row r="5" customFormat="false" ht="15" hidden="false" customHeight="false" outlineLevel="0" collapsed="false">
      <c r="A5" s="4" t="s">
        <v>285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5" hidden="false" customHeight="false" outlineLevel="0" collapsed="false">
      <c r="A6" s="6" t="s">
        <v>286</v>
      </c>
      <c r="B6" s="38" t="n">
        <f aca="false">'Marketing Budget'!B6</f>
        <v>15000</v>
      </c>
      <c r="C6" s="38" t="n">
        <f aca="false">'Marketing Budget'!C6</f>
        <v>25000</v>
      </c>
      <c r="D6" s="38" t="n">
        <f aca="false">'Marketing Budget'!D6</f>
        <v>50000</v>
      </c>
      <c r="E6" s="38" t="n">
        <f aca="false">'Marketing Budget'!E6</f>
        <v>70000</v>
      </c>
      <c r="F6" s="38" t="n">
        <f aca="false">'Marketing Budget'!F6</f>
        <v>60000</v>
      </c>
      <c r="G6" s="38" t="n">
        <f aca="false">'Marketing Budget'!G6</f>
        <v>60000</v>
      </c>
      <c r="H6" s="38" t="n">
        <f aca="false">'Marketing Budget'!H6</f>
        <v>80000</v>
      </c>
      <c r="I6" s="38" t="n">
        <f aca="false">'Marketing Budget'!I6</f>
        <v>70000</v>
      </c>
      <c r="J6" s="38" t="n">
        <f aca="false">'Marketing Budget'!J6</f>
        <v>90000</v>
      </c>
      <c r="K6" s="38" t="n">
        <f aca="false">'Marketing Budget'!K6</f>
        <v>100000</v>
      </c>
      <c r="L6" s="38" t="n">
        <f aca="false">'Marketing Budget'!L6</f>
        <v>110000</v>
      </c>
      <c r="M6" s="38" t="n">
        <f aca="false">'Marketing Budget'!M6</f>
        <v>120000</v>
      </c>
      <c r="N6" s="51" t="n">
        <f aca="false">SUM(B6:M6)</f>
        <v>850000</v>
      </c>
    </row>
    <row r="7" customFormat="false" ht="15" hidden="false" customHeight="false" outlineLevel="0" collapsed="false">
      <c r="A7" s="6" t="s">
        <v>18</v>
      </c>
      <c r="B7" s="45" t="n">
        <f aca="false">('Marketing Budget'!B7/'Ad Benchmarks'!$B$6+'Marketing Budget'!B8/'Ad Benchmarks'!$C$6+'Marketing Budget'!B9/'Ad Benchmarks'!$D$6+'Marketing Budget'!B10/'Ad Benchmarks'!$E$6)*1000</f>
        <v>40571.4285714286</v>
      </c>
      <c r="C7" s="45" t="n">
        <f aca="false">('Marketing Budget'!C7/'Ad Benchmarks'!$B$6+'Marketing Budget'!C8/'Ad Benchmarks'!$C$6+'Marketing Budget'!C9/'Ad Benchmarks'!$D$6+'Marketing Budget'!C10/'Ad Benchmarks'!$E$6)*1000</f>
        <v>67619.0476190476</v>
      </c>
      <c r="D7" s="45" t="n">
        <f aca="false">('Marketing Budget'!D7/'Ad Benchmarks'!$B$6+'Marketing Budget'!D8/'Ad Benchmarks'!$C$6+'Marketing Budget'!D9/'Ad Benchmarks'!$D$6+'Marketing Budget'!D10/'Ad Benchmarks'!$E$6)*1000</f>
        <v>135238.095238095</v>
      </c>
      <c r="E7" s="45" t="n">
        <f aca="false">('Marketing Budget'!E7/'Ad Benchmarks'!$B$6+'Marketing Budget'!E8/'Ad Benchmarks'!$C$6+'Marketing Budget'!E9/'Ad Benchmarks'!$D$6+'Marketing Budget'!E10/'Ad Benchmarks'!$E$6)*1000</f>
        <v>189333.333333333</v>
      </c>
      <c r="F7" s="45" t="n">
        <f aca="false">('Marketing Budget'!F7/'Ad Benchmarks'!$B$6+'Marketing Budget'!F8/'Ad Benchmarks'!$C$6+'Marketing Budget'!F9/'Ad Benchmarks'!$D$6+'Marketing Budget'!F10/'Ad Benchmarks'!$E$6)*1000</f>
        <v>162285.714285714</v>
      </c>
      <c r="G7" s="45" t="n">
        <f aca="false">('Marketing Budget'!G7/'Ad Benchmarks'!$B$6+'Marketing Budget'!G8/'Ad Benchmarks'!$C$6+'Marketing Budget'!G9/'Ad Benchmarks'!$D$6+'Marketing Budget'!G10/'Ad Benchmarks'!$E$6)*1000</f>
        <v>162285.714285714</v>
      </c>
      <c r="H7" s="45" t="n">
        <f aca="false">('Marketing Budget'!H7/'Ad Benchmarks'!$B$6+'Marketing Budget'!H8/'Ad Benchmarks'!$C$6+'Marketing Budget'!H9/'Ad Benchmarks'!$D$6+'Marketing Budget'!H10/'Ad Benchmarks'!$E$6)*1000</f>
        <v>216380.952380952</v>
      </c>
      <c r="I7" s="45" t="n">
        <f aca="false">('Marketing Budget'!I7/'Ad Benchmarks'!$B$6+'Marketing Budget'!I8/'Ad Benchmarks'!$C$6+'Marketing Budget'!I9/'Ad Benchmarks'!$D$6+'Marketing Budget'!I10/'Ad Benchmarks'!$E$6)*1000</f>
        <v>189333.333333333</v>
      </c>
      <c r="J7" s="45" t="n">
        <f aca="false">('Marketing Budget'!J7/'Ad Benchmarks'!$B$6+'Marketing Budget'!J8/'Ad Benchmarks'!$C$6+'Marketing Budget'!J9/'Ad Benchmarks'!$D$6+'Marketing Budget'!J10/'Ad Benchmarks'!$E$6)*1000</f>
        <v>243428.571428571</v>
      </c>
      <c r="K7" s="45" t="n">
        <f aca="false">('Marketing Budget'!K7/'Ad Benchmarks'!$B$6+'Marketing Budget'!K8/'Ad Benchmarks'!$C$6+'Marketing Budget'!K9/'Ad Benchmarks'!$D$6+'Marketing Budget'!K10/'Ad Benchmarks'!$E$6)*1000</f>
        <v>270476.190476191</v>
      </c>
      <c r="L7" s="45" t="n">
        <f aca="false">('Marketing Budget'!L7/'Ad Benchmarks'!$B$6+'Marketing Budget'!L8/'Ad Benchmarks'!$C$6+'Marketing Budget'!L9/'Ad Benchmarks'!$D$6+'Marketing Budget'!L10/'Ad Benchmarks'!$E$6)*1000</f>
        <v>297523.80952381</v>
      </c>
      <c r="M7" s="45" t="n">
        <f aca="false">('Marketing Budget'!M7/'Ad Benchmarks'!$B$6+'Marketing Budget'!M8/'Ad Benchmarks'!$C$6+'Marketing Budget'!M9/'Ad Benchmarks'!$D$6+'Marketing Budget'!M10/'Ad Benchmarks'!$E$6)*1000</f>
        <v>324571.428571429</v>
      </c>
      <c r="N7" s="52" t="n">
        <f aca="false">SUM(B7:M7)</f>
        <v>2299047.61904762</v>
      </c>
    </row>
    <row r="8" customFormat="false" ht="15" hidden="false" customHeight="false" outlineLevel="0" collapsed="false">
      <c r="A8" s="6" t="s">
        <v>20</v>
      </c>
      <c r="B8" s="45" t="n">
        <f aca="false">'Marketing Budget'!B7/'Ad Benchmarks'!$B$8+'Marketing Budget'!B8/'Ad Benchmarks'!$C$8+'Marketing Budget'!B9/'Ad Benchmarks'!$D$8+'Marketing Budget'!B10/'Ad Benchmarks'!$E$8</f>
        <v>798.571428571429</v>
      </c>
      <c r="C8" s="45" t="n">
        <f aca="false">'Marketing Budget'!C7/'Ad Benchmarks'!$B$8+'Marketing Budget'!C8/'Ad Benchmarks'!$C$8+'Marketing Budget'!C9/'Ad Benchmarks'!$D$8+'Marketing Budget'!C10/'Ad Benchmarks'!$E$8</f>
        <v>1330.95238095238</v>
      </c>
      <c r="D8" s="45" t="n">
        <f aca="false">'Marketing Budget'!D7/'Ad Benchmarks'!$B$8+'Marketing Budget'!D8/'Ad Benchmarks'!$C$8+'Marketing Budget'!D9/'Ad Benchmarks'!$D$8+'Marketing Budget'!D10/'Ad Benchmarks'!$E$8</f>
        <v>2661.90476190476</v>
      </c>
      <c r="E8" s="45" t="n">
        <f aca="false">'Marketing Budget'!E7/'Ad Benchmarks'!$B$8+'Marketing Budget'!E8/'Ad Benchmarks'!$C$8+'Marketing Budget'!E9/'Ad Benchmarks'!$D$8+'Marketing Budget'!E10/'Ad Benchmarks'!$E$8</f>
        <v>3726.66666666667</v>
      </c>
      <c r="F8" s="45" t="n">
        <f aca="false">'Marketing Budget'!F7/'Ad Benchmarks'!$B$8+'Marketing Budget'!F8/'Ad Benchmarks'!$C$8+'Marketing Budget'!F9/'Ad Benchmarks'!$D$8+'Marketing Budget'!F10/'Ad Benchmarks'!$E$8</f>
        <v>3194.28571428571</v>
      </c>
      <c r="G8" s="45" t="n">
        <f aca="false">'Marketing Budget'!G7/'Ad Benchmarks'!$B$8+'Marketing Budget'!G8/'Ad Benchmarks'!$C$8+'Marketing Budget'!G9/'Ad Benchmarks'!$D$8+'Marketing Budget'!G10/'Ad Benchmarks'!$E$8</f>
        <v>3194.28571428571</v>
      </c>
      <c r="H8" s="45" t="n">
        <f aca="false">'Marketing Budget'!H7/'Ad Benchmarks'!$B$8+'Marketing Budget'!H8/'Ad Benchmarks'!$C$8+'Marketing Budget'!H9/'Ad Benchmarks'!$D$8+'Marketing Budget'!H10/'Ad Benchmarks'!$E$8</f>
        <v>4259.04761904762</v>
      </c>
      <c r="I8" s="45" t="n">
        <f aca="false">'Marketing Budget'!I7/'Ad Benchmarks'!$B$8+'Marketing Budget'!I8/'Ad Benchmarks'!$C$8+'Marketing Budget'!I9/'Ad Benchmarks'!$D$8+'Marketing Budget'!I10/'Ad Benchmarks'!$E$8</f>
        <v>3726.66666666667</v>
      </c>
      <c r="J8" s="45" t="n">
        <f aca="false">'Marketing Budget'!J7/'Ad Benchmarks'!$B$8+'Marketing Budget'!J8/'Ad Benchmarks'!$C$8+'Marketing Budget'!J9/'Ad Benchmarks'!$D$8+'Marketing Budget'!J10/'Ad Benchmarks'!$E$8</f>
        <v>4791.42857142857</v>
      </c>
      <c r="K8" s="45" t="n">
        <f aca="false">'Marketing Budget'!K7/'Ad Benchmarks'!$B$8+'Marketing Budget'!K8/'Ad Benchmarks'!$C$8+'Marketing Budget'!K9/'Ad Benchmarks'!$D$8+'Marketing Budget'!K10/'Ad Benchmarks'!$E$8</f>
        <v>5323.80952380953</v>
      </c>
      <c r="L8" s="45" t="n">
        <f aca="false">'Marketing Budget'!L7/'Ad Benchmarks'!$B$8+'Marketing Budget'!L8/'Ad Benchmarks'!$C$8+'Marketing Budget'!L9/'Ad Benchmarks'!$D$8+'Marketing Budget'!L10/'Ad Benchmarks'!$E$8</f>
        <v>5856.19047619048</v>
      </c>
      <c r="M8" s="45" t="n">
        <f aca="false">'Marketing Budget'!M7/'Ad Benchmarks'!$B$8+'Marketing Budget'!M8/'Ad Benchmarks'!$C$8+'Marketing Budget'!M9/'Ad Benchmarks'!$D$8+'Marketing Budget'!M10/'Ad Benchmarks'!$E$8</f>
        <v>6388.57142857143</v>
      </c>
      <c r="N8" s="52" t="n">
        <f aca="false">SUM(B8:M8)</f>
        <v>45252.380952381</v>
      </c>
    </row>
    <row r="9" customFormat="false" ht="15" hidden="false" customHeight="false" outlineLevel="0" collapsed="false">
      <c r="A9" s="6" t="s">
        <v>21</v>
      </c>
      <c r="B9" s="38" t="n">
        <f aca="false">IFERROR(B6/B7*1000,0)</f>
        <v>369.718309859155</v>
      </c>
      <c r="C9" s="38" t="n">
        <f aca="false">IFERROR(C6/C7*1000,0)</f>
        <v>369.718309859155</v>
      </c>
      <c r="D9" s="38" t="n">
        <f aca="false">IFERROR(D6/D7*1000,0)</f>
        <v>369.718309859155</v>
      </c>
      <c r="E9" s="38" t="n">
        <f aca="false">IFERROR(E6/E7*1000,0)</f>
        <v>369.718309859155</v>
      </c>
      <c r="F9" s="38" t="n">
        <f aca="false">IFERROR(F6/F7*1000,0)</f>
        <v>369.718309859155</v>
      </c>
      <c r="G9" s="38" t="n">
        <f aca="false">IFERROR(G6/G7*1000,0)</f>
        <v>369.718309859155</v>
      </c>
      <c r="H9" s="38" t="n">
        <f aca="false">IFERROR(H6/H7*1000,0)</f>
        <v>369.718309859155</v>
      </c>
      <c r="I9" s="38" t="n">
        <f aca="false">IFERROR(I6/I7*1000,0)</f>
        <v>369.718309859155</v>
      </c>
      <c r="J9" s="38" t="n">
        <f aca="false">IFERROR(J6/J7*1000,0)</f>
        <v>369.718309859155</v>
      </c>
      <c r="K9" s="38" t="n">
        <f aca="false">IFERROR(K6/K7*1000,0)</f>
        <v>369.718309859155</v>
      </c>
      <c r="L9" s="38" t="n">
        <f aca="false">IFERROR(L6/L7*1000,0)</f>
        <v>369.718309859155</v>
      </c>
      <c r="M9" s="38" t="n">
        <f aca="false">IFERROR(M6/M7*1000,0)</f>
        <v>369.718309859155</v>
      </c>
      <c r="N9" s="51" t="n">
        <f aca="false">IFERROR(N6/N7*1000,0)</f>
        <v>369.718309859155</v>
      </c>
    </row>
    <row r="10" customFormat="false" ht="15" hidden="false" customHeight="false" outlineLevel="0" collapsed="false">
      <c r="A10" s="6" t="s">
        <v>23</v>
      </c>
      <c r="B10" s="44" t="n">
        <f aca="false">IFERROR(B6/B8,0)</f>
        <v>18.783542039356</v>
      </c>
      <c r="C10" s="44" t="n">
        <f aca="false">IFERROR(C6/C8,0)</f>
        <v>18.783542039356</v>
      </c>
      <c r="D10" s="44" t="n">
        <f aca="false">IFERROR(D6/D8,0)</f>
        <v>18.783542039356</v>
      </c>
      <c r="E10" s="44" t="n">
        <f aca="false">IFERROR(E6/E8,0)</f>
        <v>18.783542039356</v>
      </c>
      <c r="F10" s="44" t="n">
        <f aca="false">IFERROR(F6/F8,0)</f>
        <v>18.783542039356</v>
      </c>
      <c r="G10" s="44" t="n">
        <f aca="false">IFERROR(G6/G8,0)</f>
        <v>18.783542039356</v>
      </c>
      <c r="H10" s="44" t="n">
        <f aca="false">IFERROR(H6/H8,0)</f>
        <v>18.783542039356</v>
      </c>
      <c r="I10" s="44" t="n">
        <f aca="false">IFERROR(I6/I8,0)</f>
        <v>18.783542039356</v>
      </c>
      <c r="J10" s="44" t="n">
        <f aca="false">IFERROR(J6/J8,0)</f>
        <v>18.783542039356</v>
      </c>
      <c r="K10" s="44" t="n">
        <f aca="false">IFERROR(K6/K8,0)</f>
        <v>18.783542039356</v>
      </c>
      <c r="L10" s="44" t="n">
        <f aca="false">IFERROR(L6/L8,0)</f>
        <v>18.783542039356</v>
      </c>
      <c r="M10" s="44" t="n">
        <f aca="false">IFERROR(M6/M8,0)</f>
        <v>18.783542039356</v>
      </c>
      <c r="N10" s="53" t="n">
        <f aca="false">IFERROR(N6/N8,0)</f>
        <v>18.783542039356</v>
      </c>
    </row>
    <row r="11" customFormat="false" ht="15" hidden="false" customHeight="false" outlineLevel="0" collapsed="false">
      <c r="A11" s="6" t="s">
        <v>25</v>
      </c>
      <c r="B11" s="54" t="n">
        <f aca="false">IFERROR(B8/B7,0)</f>
        <v>0.0196830985915493</v>
      </c>
      <c r="C11" s="54" t="n">
        <f aca="false">IFERROR(C8/C7,0)</f>
        <v>0.0196830985915493</v>
      </c>
      <c r="D11" s="54" t="n">
        <f aca="false">IFERROR(D8/D7,0)</f>
        <v>0.0196830985915493</v>
      </c>
      <c r="E11" s="54" t="n">
        <f aca="false">IFERROR(E8/E7,0)</f>
        <v>0.0196830985915493</v>
      </c>
      <c r="F11" s="54" t="n">
        <f aca="false">IFERROR(F8/F7,0)</f>
        <v>0.0196830985915493</v>
      </c>
      <c r="G11" s="54" t="n">
        <f aca="false">IFERROR(G8/G7,0)</f>
        <v>0.0196830985915493</v>
      </c>
      <c r="H11" s="54" t="n">
        <f aca="false">IFERROR(H8/H7,0)</f>
        <v>0.0196830985915493</v>
      </c>
      <c r="I11" s="54" t="n">
        <f aca="false">IFERROR(I8/I7,0)</f>
        <v>0.0196830985915493</v>
      </c>
      <c r="J11" s="54" t="n">
        <f aca="false">IFERROR(J8/J7,0)</f>
        <v>0.0196830985915493</v>
      </c>
      <c r="K11" s="54" t="n">
        <f aca="false">IFERROR(K8/K7,0)</f>
        <v>0.0196830985915493</v>
      </c>
      <c r="L11" s="54" t="n">
        <f aca="false">IFERROR(L8/L7,0)</f>
        <v>0.0196830985915493</v>
      </c>
      <c r="M11" s="54" t="n">
        <f aca="false">IFERROR(M8/M7,0)</f>
        <v>0.0196830985915493</v>
      </c>
      <c r="N11" s="55" t="n">
        <f aca="false">IFERROR(N8/N7,0)</f>
        <v>0.0196830985915493</v>
      </c>
    </row>
    <row r="12" customFormat="false" ht="15" hidden="false" customHeight="false" outlineLevel="0" collapsed="false">
      <c r="A12" s="4" t="s">
        <v>287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customFormat="false" ht="15" hidden="false" customHeight="false" outlineLevel="0" collapsed="false">
      <c r="A13" s="6" t="s">
        <v>288</v>
      </c>
      <c r="B13" s="56" t="n">
        <f aca="false">'Marketing Budget'!B7/'Ad Benchmarks'!$B$8*'Ad Benchmarks'!$B$9*'Ad Benchmarks'!$B$16</f>
        <v>10.6071428571429</v>
      </c>
      <c r="C13" s="56" t="n">
        <f aca="false">'Marketing Budget'!C7/'Ad Benchmarks'!$B$8*'Ad Benchmarks'!$B$9*'Ad Benchmarks'!$B$16</f>
        <v>17.6785714285714</v>
      </c>
      <c r="D13" s="56" t="n">
        <f aca="false">'Marketing Budget'!D7/'Ad Benchmarks'!$B$8*'Ad Benchmarks'!$B$9*'Ad Benchmarks'!$B$16</f>
        <v>35.3571428571429</v>
      </c>
      <c r="E13" s="56" t="n">
        <f aca="false">'Marketing Budget'!E7/'Ad Benchmarks'!$B$8*'Ad Benchmarks'!$B$9*'Ad Benchmarks'!$B$16</f>
        <v>49.5</v>
      </c>
      <c r="F13" s="56" t="n">
        <f aca="false">'Marketing Budget'!F7/'Ad Benchmarks'!$B$8*'Ad Benchmarks'!$B$9*'Ad Benchmarks'!$B$16</f>
        <v>42.4285714285714</v>
      </c>
      <c r="G13" s="56" t="n">
        <f aca="false">'Marketing Budget'!G7/'Ad Benchmarks'!$B$8*'Ad Benchmarks'!$B$9*'Ad Benchmarks'!$B$16</f>
        <v>42.4285714285714</v>
      </c>
      <c r="H13" s="56" t="n">
        <f aca="false">'Marketing Budget'!H7/'Ad Benchmarks'!$B$8*'Ad Benchmarks'!$B$9*'Ad Benchmarks'!$B$16</f>
        <v>56.5714285714286</v>
      </c>
      <c r="I13" s="56" t="n">
        <f aca="false">'Marketing Budget'!I7/'Ad Benchmarks'!$B$8*'Ad Benchmarks'!$B$9*'Ad Benchmarks'!$B$16</f>
        <v>49.5</v>
      </c>
      <c r="J13" s="56" t="n">
        <f aca="false">'Marketing Budget'!J7/'Ad Benchmarks'!$B$8*'Ad Benchmarks'!$B$9*'Ad Benchmarks'!$B$16</f>
        <v>63.6428571428572</v>
      </c>
      <c r="K13" s="56" t="n">
        <f aca="false">'Marketing Budget'!K7/'Ad Benchmarks'!$B$8*'Ad Benchmarks'!$B$9*'Ad Benchmarks'!$B$16</f>
        <v>70.7142857142857</v>
      </c>
      <c r="L13" s="56" t="n">
        <f aca="false">'Marketing Budget'!L7/'Ad Benchmarks'!$B$8*'Ad Benchmarks'!$B$9*'Ad Benchmarks'!$B$16</f>
        <v>77.7857142857143</v>
      </c>
      <c r="M13" s="56" t="n">
        <f aca="false">'Marketing Budget'!M7/'Ad Benchmarks'!$B$8*'Ad Benchmarks'!$B$9*'Ad Benchmarks'!$B$16</f>
        <v>84.8571428571429</v>
      </c>
      <c r="N13" s="57" t="n">
        <f aca="false">SUM(B13:M13)</f>
        <v>601.071428571429</v>
      </c>
    </row>
    <row r="14" customFormat="false" ht="15" hidden="false" customHeight="false" outlineLevel="0" collapsed="false">
      <c r="A14" s="6" t="s">
        <v>289</v>
      </c>
      <c r="B14" s="56" t="n">
        <f aca="false">'Marketing Budget'!B8/'Ad Benchmarks'!$C$8*'Ad Benchmarks'!$C$9*'Ad Benchmarks'!$B$16</f>
        <v>21.6</v>
      </c>
      <c r="C14" s="56" t="n">
        <f aca="false">'Marketing Budget'!C8/'Ad Benchmarks'!$C$8*'Ad Benchmarks'!$C$9*'Ad Benchmarks'!$B$16</f>
        <v>36</v>
      </c>
      <c r="D14" s="56" t="n">
        <f aca="false">'Marketing Budget'!D8/'Ad Benchmarks'!$C$8*'Ad Benchmarks'!$C$9*'Ad Benchmarks'!$B$16</f>
        <v>72</v>
      </c>
      <c r="E14" s="56" t="n">
        <f aca="false">'Marketing Budget'!E8/'Ad Benchmarks'!$C$8*'Ad Benchmarks'!$C$9*'Ad Benchmarks'!$B$16</f>
        <v>100.8</v>
      </c>
      <c r="F14" s="56" t="n">
        <f aca="false">'Marketing Budget'!F8/'Ad Benchmarks'!$C$8*'Ad Benchmarks'!$C$9*'Ad Benchmarks'!$B$16</f>
        <v>86.4</v>
      </c>
      <c r="G14" s="56" t="n">
        <f aca="false">'Marketing Budget'!G8/'Ad Benchmarks'!$C$8*'Ad Benchmarks'!$C$9*'Ad Benchmarks'!$B$16</f>
        <v>86.4</v>
      </c>
      <c r="H14" s="56" t="n">
        <f aca="false">'Marketing Budget'!H8/'Ad Benchmarks'!$C$8*'Ad Benchmarks'!$C$9*'Ad Benchmarks'!$B$16</f>
        <v>115.2</v>
      </c>
      <c r="I14" s="56" t="n">
        <f aca="false">'Marketing Budget'!I8/'Ad Benchmarks'!$C$8*'Ad Benchmarks'!$C$9*'Ad Benchmarks'!$B$16</f>
        <v>100.8</v>
      </c>
      <c r="J14" s="56" t="n">
        <f aca="false">'Marketing Budget'!J8/'Ad Benchmarks'!$C$8*'Ad Benchmarks'!$C$9*'Ad Benchmarks'!$B$16</f>
        <v>129.6</v>
      </c>
      <c r="K14" s="56" t="n">
        <f aca="false">'Marketing Budget'!K8/'Ad Benchmarks'!$C$8*'Ad Benchmarks'!$C$9*'Ad Benchmarks'!$B$16</f>
        <v>144</v>
      </c>
      <c r="L14" s="56" t="n">
        <f aca="false">'Marketing Budget'!L8/'Ad Benchmarks'!$C$8*'Ad Benchmarks'!$C$9*'Ad Benchmarks'!$B$16</f>
        <v>158.4</v>
      </c>
      <c r="M14" s="56" t="n">
        <f aca="false">'Marketing Budget'!M8/'Ad Benchmarks'!$C$8*'Ad Benchmarks'!$C$9*'Ad Benchmarks'!$B$16</f>
        <v>172.8</v>
      </c>
      <c r="N14" s="57" t="n">
        <f aca="false">SUM(B14:M14)</f>
        <v>1224</v>
      </c>
    </row>
    <row r="15" customFormat="false" ht="15" hidden="false" customHeight="false" outlineLevel="0" collapsed="false">
      <c r="A15" s="6" t="s">
        <v>290</v>
      </c>
      <c r="B15" s="56" t="n">
        <f aca="false">'Marketing Budget'!B9/'Ad Benchmarks'!$D$8*'Ad Benchmarks'!$D$9*'Ad Benchmarks'!$B$16</f>
        <v>9</v>
      </c>
      <c r="C15" s="56" t="n">
        <f aca="false">'Marketing Budget'!C9/'Ad Benchmarks'!$D$8*'Ad Benchmarks'!$D$9*'Ad Benchmarks'!$B$16</f>
        <v>15</v>
      </c>
      <c r="D15" s="56" t="n">
        <f aca="false">'Marketing Budget'!D9/'Ad Benchmarks'!$D$8*'Ad Benchmarks'!$D$9*'Ad Benchmarks'!$B$16</f>
        <v>30</v>
      </c>
      <c r="E15" s="56" t="n">
        <f aca="false">'Marketing Budget'!E9/'Ad Benchmarks'!$D$8*'Ad Benchmarks'!$D$9*'Ad Benchmarks'!$B$16</f>
        <v>42</v>
      </c>
      <c r="F15" s="56" t="n">
        <f aca="false">'Marketing Budget'!F9/'Ad Benchmarks'!$D$8*'Ad Benchmarks'!$D$9*'Ad Benchmarks'!$B$16</f>
        <v>36</v>
      </c>
      <c r="G15" s="56" t="n">
        <f aca="false">'Marketing Budget'!G9/'Ad Benchmarks'!$D$8*'Ad Benchmarks'!$D$9*'Ad Benchmarks'!$B$16</f>
        <v>36</v>
      </c>
      <c r="H15" s="56" t="n">
        <f aca="false">'Marketing Budget'!H9/'Ad Benchmarks'!$D$8*'Ad Benchmarks'!$D$9*'Ad Benchmarks'!$B$16</f>
        <v>48</v>
      </c>
      <c r="I15" s="56" t="n">
        <f aca="false">'Marketing Budget'!I9/'Ad Benchmarks'!$D$8*'Ad Benchmarks'!$D$9*'Ad Benchmarks'!$B$16</f>
        <v>42</v>
      </c>
      <c r="J15" s="56" t="n">
        <f aca="false">'Marketing Budget'!J9/'Ad Benchmarks'!$D$8*'Ad Benchmarks'!$D$9*'Ad Benchmarks'!$B$16</f>
        <v>54</v>
      </c>
      <c r="K15" s="56" t="n">
        <f aca="false">'Marketing Budget'!K9/'Ad Benchmarks'!$D$8*'Ad Benchmarks'!$D$9*'Ad Benchmarks'!$B$16</f>
        <v>60</v>
      </c>
      <c r="L15" s="56" t="n">
        <f aca="false">'Marketing Budget'!L9/'Ad Benchmarks'!$D$8*'Ad Benchmarks'!$D$9*'Ad Benchmarks'!$B$16</f>
        <v>66</v>
      </c>
      <c r="M15" s="56" t="n">
        <f aca="false">'Marketing Budget'!M9/'Ad Benchmarks'!$D$8*'Ad Benchmarks'!$D$9*'Ad Benchmarks'!$B$16</f>
        <v>72</v>
      </c>
      <c r="N15" s="57" t="n">
        <f aca="false">SUM(B15:M15)</f>
        <v>510</v>
      </c>
    </row>
    <row r="16" customFormat="false" ht="15" hidden="false" customHeight="false" outlineLevel="0" collapsed="false">
      <c r="A16" s="6" t="s">
        <v>291</v>
      </c>
      <c r="B16" s="28" t="n">
        <v>20</v>
      </c>
      <c r="C16" s="28" t="n">
        <v>25</v>
      </c>
      <c r="D16" s="28" t="n">
        <v>40</v>
      </c>
      <c r="E16" s="28" t="n">
        <v>50</v>
      </c>
      <c r="F16" s="28" t="n">
        <v>45</v>
      </c>
      <c r="G16" s="28" t="n">
        <v>50</v>
      </c>
      <c r="H16" s="28" t="n">
        <v>60</v>
      </c>
      <c r="I16" s="28" t="n">
        <v>60</v>
      </c>
      <c r="J16" s="28" t="n">
        <v>70</v>
      </c>
      <c r="K16" s="28" t="n">
        <v>80</v>
      </c>
      <c r="L16" s="28" t="n">
        <v>90</v>
      </c>
      <c r="M16" s="28" t="n">
        <v>100</v>
      </c>
      <c r="N16" s="52" t="n">
        <f aca="false">SUM(B16:M16)</f>
        <v>690</v>
      </c>
    </row>
    <row r="17" customFormat="false" ht="15" hidden="false" customHeight="false" outlineLevel="0" collapsed="false">
      <c r="A17" s="39" t="s">
        <v>292</v>
      </c>
      <c r="B17" s="58" t="n">
        <f aca="false">SUM(B13:B16)</f>
        <v>61.2071428571429</v>
      </c>
      <c r="C17" s="58" t="n">
        <f aca="false">SUM(C13:C16)</f>
        <v>93.6785714285714</v>
      </c>
      <c r="D17" s="58" t="n">
        <f aca="false">SUM(D13:D16)</f>
        <v>177.357142857143</v>
      </c>
      <c r="E17" s="58" t="n">
        <f aca="false">SUM(E13:E16)</f>
        <v>242.3</v>
      </c>
      <c r="F17" s="58" t="n">
        <f aca="false">SUM(F13:F16)</f>
        <v>209.828571428571</v>
      </c>
      <c r="G17" s="58" t="n">
        <f aca="false">SUM(G13:G16)</f>
        <v>214.828571428571</v>
      </c>
      <c r="H17" s="58" t="n">
        <f aca="false">SUM(H13:H16)</f>
        <v>279.771428571429</v>
      </c>
      <c r="I17" s="58" t="n">
        <f aca="false">SUM(I13:I16)</f>
        <v>252.3</v>
      </c>
      <c r="J17" s="58" t="n">
        <f aca="false">SUM(J13:J16)</f>
        <v>317.242857142857</v>
      </c>
      <c r="K17" s="58" t="n">
        <f aca="false">SUM(K13:K16)</f>
        <v>354.714285714286</v>
      </c>
      <c r="L17" s="58" t="n">
        <f aca="false">SUM(L13:L16)</f>
        <v>392.185714285714</v>
      </c>
      <c r="M17" s="58" t="n">
        <f aca="false">SUM(M13:M16)</f>
        <v>429.657142857143</v>
      </c>
      <c r="N17" s="58" t="n">
        <f aca="false">SUM(B17:M17)</f>
        <v>3025.07142857143</v>
      </c>
    </row>
    <row r="18" customFormat="false" ht="15" hidden="false" customHeight="false" outlineLevel="0" collapsed="false">
      <c r="A18" s="6" t="s">
        <v>28</v>
      </c>
      <c r="B18" s="38" t="n">
        <f aca="false">IFERROR(B6/SUM(B13:B15),0)</f>
        <v>364.014560582423</v>
      </c>
      <c r="C18" s="38" t="n">
        <f aca="false">IFERROR(C6/SUM(C13:C15),0)</f>
        <v>364.014560582423</v>
      </c>
      <c r="D18" s="38" t="n">
        <f aca="false">IFERROR(D6/SUM(D13:D15),0)</f>
        <v>364.014560582423</v>
      </c>
      <c r="E18" s="38" t="n">
        <f aca="false">IFERROR(E6/SUM(E13:E15),0)</f>
        <v>364.014560582423</v>
      </c>
      <c r="F18" s="38" t="n">
        <f aca="false">IFERROR(F6/SUM(F13:F15),0)</f>
        <v>364.014560582423</v>
      </c>
      <c r="G18" s="38" t="n">
        <f aca="false">IFERROR(G6/SUM(G13:G15),0)</f>
        <v>364.014560582423</v>
      </c>
      <c r="H18" s="38" t="n">
        <f aca="false">IFERROR(H6/SUM(H13:H15),0)</f>
        <v>364.014560582423</v>
      </c>
      <c r="I18" s="38" t="n">
        <f aca="false">IFERROR(I6/SUM(I13:I15),0)</f>
        <v>364.014560582423</v>
      </c>
      <c r="J18" s="38" t="n">
        <f aca="false">IFERROR(J6/SUM(J13:J15),0)</f>
        <v>364.014560582423</v>
      </c>
      <c r="K18" s="38" t="n">
        <f aca="false">IFERROR(K6/SUM(K13:K15),0)</f>
        <v>364.014560582423</v>
      </c>
      <c r="L18" s="38" t="n">
        <f aca="false">IFERROR(L6/SUM(L13:L15),0)</f>
        <v>364.014560582423</v>
      </c>
      <c r="M18" s="38" t="n">
        <f aca="false">IFERROR(M6/SUM(M13:M15),0)</f>
        <v>364.014560582423</v>
      </c>
      <c r="N18" s="51" t="n">
        <f aca="false">IFERROR(N6/SUM(N13:N15),0)</f>
        <v>364.014560582423</v>
      </c>
    </row>
    <row r="19" customFormat="false" ht="15" hidden="false" customHeight="false" outlineLevel="0" collapsed="false">
      <c r="A19" s="4" t="s">
        <v>148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customFormat="false" ht="15" hidden="false" customHeight="false" outlineLevel="0" collapsed="false">
      <c r="A20" s="6" t="s">
        <v>293</v>
      </c>
      <c r="B20" s="56" t="n">
        <f aca="false">0</f>
        <v>0</v>
      </c>
      <c r="C20" s="56" t="n">
        <f aca="false">B13*'Ad Benchmarks'!$B$10+B14*'Ad Benchmarks'!$C$10+B15*'Ad Benchmarks'!$D$10</f>
        <v>6.63107142857143</v>
      </c>
      <c r="D20" s="56" t="n">
        <f aca="false">C13*'Ad Benchmarks'!$B$10+C14*'Ad Benchmarks'!$C$10+C15*'Ad Benchmarks'!$D$10</f>
        <v>11.0517857142857</v>
      </c>
      <c r="E20" s="56" t="n">
        <f aca="false">D13*'Ad Benchmarks'!$B$10+D14*'Ad Benchmarks'!$C$10+D15*'Ad Benchmarks'!$D$10</f>
        <v>22.1035714285714</v>
      </c>
      <c r="F20" s="56" t="n">
        <f aca="false">E13*'Ad Benchmarks'!$B$10+E14*'Ad Benchmarks'!$C$10+E15*'Ad Benchmarks'!$D$10</f>
        <v>30.945</v>
      </c>
      <c r="G20" s="56" t="n">
        <f aca="false">F13*'Ad Benchmarks'!$B$10+F14*'Ad Benchmarks'!$C$10+F15*'Ad Benchmarks'!$D$10</f>
        <v>26.5242857142857</v>
      </c>
      <c r="H20" s="56" t="n">
        <f aca="false">G13*'Ad Benchmarks'!$B$10+G14*'Ad Benchmarks'!$C$10+G15*'Ad Benchmarks'!$D$10</f>
        <v>26.5242857142857</v>
      </c>
      <c r="I20" s="56" t="n">
        <f aca="false">H13*'Ad Benchmarks'!$B$10+H14*'Ad Benchmarks'!$C$10+H15*'Ad Benchmarks'!$D$10</f>
        <v>35.3657142857143</v>
      </c>
      <c r="J20" s="56" t="n">
        <f aca="false">I13*'Ad Benchmarks'!$B$10+I14*'Ad Benchmarks'!$C$10+I15*'Ad Benchmarks'!$D$10</f>
        <v>30.945</v>
      </c>
      <c r="K20" s="56" t="n">
        <f aca="false">J13*'Ad Benchmarks'!$B$10+J14*'Ad Benchmarks'!$C$10+J15*'Ad Benchmarks'!$D$10</f>
        <v>39.7864285714286</v>
      </c>
      <c r="L20" s="56" t="n">
        <f aca="false">K13*'Ad Benchmarks'!$B$10+K14*'Ad Benchmarks'!$C$10+K15*'Ad Benchmarks'!$D$10</f>
        <v>44.2071428571429</v>
      </c>
      <c r="M20" s="56" t="n">
        <f aca="false">L13*'Ad Benchmarks'!$B$10+L14*'Ad Benchmarks'!$C$10+L15*'Ad Benchmarks'!$D$10</f>
        <v>48.6278571428571</v>
      </c>
      <c r="N20" s="57" t="n">
        <f aca="false">SUM(B20:M20)</f>
        <v>322.712142857143</v>
      </c>
    </row>
    <row r="21" customFormat="false" ht="15" hidden="false" customHeight="false" outlineLevel="0" collapsed="false">
      <c r="A21" s="6" t="s">
        <v>294</v>
      </c>
      <c r="B21" s="56" t="n">
        <f aca="false">0</f>
        <v>0</v>
      </c>
      <c r="C21" s="56" t="n">
        <f aca="false">B16*'Ad Benchmarks'!$B$17</f>
        <v>5</v>
      </c>
      <c r="D21" s="56" t="n">
        <f aca="false">C16*'Ad Benchmarks'!$B$17</f>
        <v>6.25</v>
      </c>
      <c r="E21" s="56" t="n">
        <f aca="false">D16*'Ad Benchmarks'!$B$17</f>
        <v>10</v>
      </c>
      <c r="F21" s="56" t="n">
        <f aca="false">E16*'Ad Benchmarks'!$B$17</f>
        <v>12.5</v>
      </c>
      <c r="G21" s="56" t="n">
        <f aca="false">F16*'Ad Benchmarks'!$B$17</f>
        <v>11.25</v>
      </c>
      <c r="H21" s="56" t="n">
        <f aca="false">G16*'Ad Benchmarks'!$B$17</f>
        <v>12.5</v>
      </c>
      <c r="I21" s="56" t="n">
        <f aca="false">H16*'Ad Benchmarks'!$B$17</f>
        <v>15</v>
      </c>
      <c r="J21" s="56" t="n">
        <f aca="false">I16*'Ad Benchmarks'!$B$17</f>
        <v>15</v>
      </c>
      <c r="K21" s="56" t="n">
        <f aca="false">J16*'Ad Benchmarks'!$B$17</f>
        <v>17.5</v>
      </c>
      <c r="L21" s="56" t="n">
        <f aca="false">K16*'Ad Benchmarks'!$B$17</f>
        <v>20</v>
      </c>
      <c r="M21" s="56" t="n">
        <f aca="false">L16*'Ad Benchmarks'!$B$17</f>
        <v>22.5</v>
      </c>
      <c r="N21" s="57" t="n">
        <f aca="false">SUM(B21:M21)</f>
        <v>147.5</v>
      </c>
    </row>
    <row r="22" customFormat="false" ht="15" hidden="false" customHeight="false" outlineLevel="0" collapsed="false">
      <c r="A22" s="6" t="s">
        <v>295</v>
      </c>
      <c r="B22" s="56" t="n">
        <f aca="false">0</f>
        <v>0</v>
      </c>
      <c r="C22" s="56" t="n">
        <f aca="false">B24*'Ad Benchmarks'!$B$18</f>
        <v>0</v>
      </c>
      <c r="D22" s="56" t="n">
        <f aca="false">C24*'Ad Benchmarks'!$B$18</f>
        <v>0.465242857142857</v>
      </c>
      <c r="E22" s="56" t="n">
        <f aca="false">D24*'Ad Benchmarks'!$B$18</f>
        <v>1.13870457142857</v>
      </c>
      <c r="F22" s="56" t="n">
        <f aca="false">E24*'Ad Benchmarks'!$B$18</f>
        <v>2.37729924571429</v>
      </c>
      <c r="G22" s="56" t="n">
        <f aca="false">F24*'Ad Benchmarks'!$B$18</f>
        <v>4.02000727588571</v>
      </c>
      <c r="H22" s="56" t="n">
        <f aca="false">G24*'Ad Benchmarks'!$B$18</f>
        <v>5.37017841342171</v>
      </c>
      <c r="I22" s="56" t="n">
        <f aca="false">H24*'Ad Benchmarks'!$B$18</f>
        <v>6.71634270545627</v>
      </c>
      <c r="J22" s="56" t="n">
        <f aca="false">I24*'Ad Benchmarks'!$B$18</f>
        <v>8.46231756866659</v>
      </c>
      <c r="K22" s="56" t="n">
        <f aca="false">J24*'Ad Benchmarks'!$B$18</f>
        <v>9.96162486591993</v>
      </c>
      <c r="L22" s="56" t="n">
        <f aca="false">K24*'Ad Benchmarks'!$B$18</f>
        <v>11.8546170141403</v>
      </c>
      <c r="M22" s="56" t="n">
        <f aca="false">L24*'Ad Benchmarks'!$B$18</f>
        <v>13.9487180478604</v>
      </c>
      <c r="N22" s="57" t="n">
        <f aca="false">SUM(B22:M22)</f>
        <v>64.3150525656366</v>
      </c>
    </row>
    <row r="23" customFormat="false" ht="15" hidden="false" customHeight="false" outlineLevel="0" collapsed="false">
      <c r="A23" s="6" t="s">
        <v>296</v>
      </c>
      <c r="B23" s="56" t="n">
        <f aca="false">B20+B21-B22</f>
        <v>0</v>
      </c>
      <c r="C23" s="56" t="n">
        <f aca="false">C20+C21-C22</f>
        <v>11.6310714285714</v>
      </c>
      <c r="D23" s="56" t="n">
        <f aca="false">D20+D21-D22</f>
        <v>16.8365428571429</v>
      </c>
      <c r="E23" s="56" t="n">
        <f aca="false">E20+E21-E22</f>
        <v>30.9648668571429</v>
      </c>
      <c r="F23" s="56" t="n">
        <f aca="false">F20+F21-F22</f>
        <v>41.0677007542857</v>
      </c>
      <c r="G23" s="56" t="n">
        <f aca="false">G20+G21-G22</f>
        <v>33.7542784384</v>
      </c>
      <c r="H23" s="56" t="n">
        <f aca="false">H20+H21-H22</f>
        <v>33.654107300864</v>
      </c>
      <c r="I23" s="56" t="n">
        <f aca="false">I20+I21-I22</f>
        <v>43.649371580258</v>
      </c>
      <c r="J23" s="56" t="n">
        <f aca="false">J20+J21-J22</f>
        <v>37.4826824313334</v>
      </c>
      <c r="K23" s="56" t="n">
        <f aca="false">K20+K21-K22</f>
        <v>47.3248037055086</v>
      </c>
      <c r="L23" s="56" t="n">
        <f aca="false">L20+L21-L22</f>
        <v>52.3525258430026</v>
      </c>
      <c r="M23" s="56" t="n">
        <f aca="false">M20+M21-M22</f>
        <v>57.1791390949968</v>
      </c>
      <c r="N23" s="57" t="n">
        <f aca="false">SUM(B23:M23)</f>
        <v>405.897090291506</v>
      </c>
    </row>
    <row r="24" customFormat="false" ht="15" hidden="false" customHeight="false" outlineLevel="0" collapsed="false">
      <c r="A24" s="39" t="s">
        <v>297</v>
      </c>
      <c r="B24" s="58" t="n">
        <f aca="false">B23</f>
        <v>0</v>
      </c>
      <c r="C24" s="58" t="n">
        <f aca="false">B24+C23</f>
        <v>11.6310714285714</v>
      </c>
      <c r="D24" s="58" t="n">
        <f aca="false">C24+D23</f>
        <v>28.4676142857143</v>
      </c>
      <c r="E24" s="58" t="n">
        <f aca="false">D24+E23</f>
        <v>59.4324811428571</v>
      </c>
      <c r="F24" s="58" t="n">
        <f aca="false">E24+F23</f>
        <v>100.500181897143</v>
      </c>
      <c r="G24" s="58" t="n">
        <f aca="false">F24+G23</f>
        <v>134.254460335543</v>
      </c>
      <c r="H24" s="58" t="n">
        <f aca="false">G24+H23</f>
        <v>167.908567636407</v>
      </c>
      <c r="I24" s="58" t="n">
        <f aca="false">H24+I23</f>
        <v>211.557939216665</v>
      </c>
      <c r="J24" s="58" t="n">
        <f aca="false">I24+J23</f>
        <v>249.040621647998</v>
      </c>
      <c r="K24" s="58" t="n">
        <f aca="false">J24+K23</f>
        <v>296.365425353507</v>
      </c>
      <c r="L24" s="58" t="n">
        <f aca="false">K24+L23</f>
        <v>348.71795119651</v>
      </c>
      <c r="M24" s="58" t="n">
        <f aca="false">L24+M23</f>
        <v>405.897090291506</v>
      </c>
      <c r="N24" s="58" t="n">
        <f aca="false">M24</f>
        <v>405.897090291506</v>
      </c>
    </row>
    <row r="25" customFormat="false" ht="15" hidden="false" customHeight="false" outlineLevel="0" collapsed="false">
      <c r="A25" s="39" t="s">
        <v>150</v>
      </c>
      <c r="B25" s="40" t="n">
        <f aca="false">B24*Inputs!$B$22</f>
        <v>0</v>
      </c>
      <c r="C25" s="40" t="n">
        <f aca="false">C24*Inputs!$B$22</f>
        <v>14178.2760714286</v>
      </c>
      <c r="D25" s="40" t="n">
        <f aca="false">D24*Inputs!$B$22</f>
        <v>34702.0218142857</v>
      </c>
      <c r="E25" s="40" t="n">
        <f aca="false">E24*Inputs!$B$22</f>
        <v>72448.1945131429</v>
      </c>
      <c r="F25" s="40" t="n">
        <f aca="false">F24*Inputs!$B$22</f>
        <v>122509.721732617</v>
      </c>
      <c r="G25" s="40" t="n">
        <f aca="false">G24*Inputs!$B$22</f>
        <v>163656.187149027</v>
      </c>
      <c r="H25" s="40" t="n">
        <f aca="false">H24*Inputs!$B$22</f>
        <v>204680.54394878</v>
      </c>
      <c r="I25" s="40" t="n">
        <f aca="false">I24*Inputs!$B$22</f>
        <v>257889.127905114</v>
      </c>
      <c r="J25" s="40" t="n">
        <f aca="false">J24*Inputs!$B$22</f>
        <v>303580.51778891</v>
      </c>
      <c r="K25" s="40" t="n">
        <f aca="false">K24*Inputs!$B$22</f>
        <v>361269.453505925</v>
      </c>
      <c r="L25" s="40" t="n">
        <f aca="false">L24*Inputs!$B$22</f>
        <v>425087.182508545</v>
      </c>
      <c r="M25" s="40" t="n">
        <f aca="false">M24*Inputs!$B$22</f>
        <v>494788.553065346</v>
      </c>
      <c r="N25" s="40" t="n">
        <f aca="false">SUM(B25:M25)</f>
        <v>2454789.78000312</v>
      </c>
    </row>
    <row r="26" customFormat="false" ht="15" hidden="false" customHeight="false" outlineLevel="0" collapsed="false">
      <c r="A26" s="6" t="s">
        <v>298</v>
      </c>
      <c r="B26" s="38" t="n">
        <f aca="false">B24*Inputs!$B$22</f>
        <v>0</v>
      </c>
      <c r="C26" s="38" t="n">
        <f aca="false">C24*Inputs!$B$22</f>
        <v>14178.2760714286</v>
      </c>
      <c r="D26" s="38" t="n">
        <f aca="false">D24*Inputs!$B$22</f>
        <v>34702.0218142857</v>
      </c>
      <c r="E26" s="38" t="n">
        <f aca="false">E24*Inputs!$B$22</f>
        <v>72448.1945131429</v>
      </c>
      <c r="F26" s="38" t="n">
        <f aca="false">F24*Inputs!$B$22</f>
        <v>122509.721732617</v>
      </c>
      <c r="G26" s="38" t="n">
        <f aca="false">G24*Inputs!$B$22</f>
        <v>163656.187149027</v>
      </c>
      <c r="H26" s="38" t="n">
        <f aca="false">H24*Inputs!$B$22</f>
        <v>204680.54394878</v>
      </c>
      <c r="I26" s="38" t="n">
        <f aca="false">I24*Inputs!$B$22</f>
        <v>257889.127905114</v>
      </c>
      <c r="J26" s="38" t="n">
        <f aca="false">J24*Inputs!$B$22</f>
        <v>303580.51778891</v>
      </c>
      <c r="K26" s="38" t="n">
        <f aca="false">K24*Inputs!$B$22</f>
        <v>361269.453505925</v>
      </c>
      <c r="L26" s="38" t="n">
        <f aca="false">L24*Inputs!$B$22</f>
        <v>425087.182508545</v>
      </c>
      <c r="M26" s="38" t="n">
        <f aca="false">M24*Inputs!$B$22</f>
        <v>494788.553065346</v>
      </c>
      <c r="N26" s="51" t="n">
        <f aca="false">M26</f>
        <v>494788.553065346</v>
      </c>
    </row>
    <row r="27" customFormat="false" ht="15" hidden="false" customHeight="false" outlineLevel="0" collapsed="false">
      <c r="A27" s="4" t="s">
        <v>299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 customFormat="false" ht="15" hidden="false" customHeight="false" outlineLevel="0" collapsed="false">
      <c r="A28" s="6" t="s">
        <v>151</v>
      </c>
      <c r="B28" s="38" t="n">
        <f aca="false">B25*Inputs!$B$6</f>
        <v>0</v>
      </c>
      <c r="C28" s="38" t="n">
        <f aca="false">C25*Inputs!$B$6</f>
        <v>205.585003035714</v>
      </c>
      <c r="D28" s="38" t="n">
        <f aca="false">D25*Inputs!$B$6</f>
        <v>503.179316307143</v>
      </c>
      <c r="E28" s="38" t="n">
        <f aca="false">E25*Inputs!$B$6</f>
        <v>1050.49882044057</v>
      </c>
      <c r="F28" s="38" t="n">
        <f aca="false">F25*Inputs!$B$6</f>
        <v>1776.39096512295</v>
      </c>
      <c r="G28" s="38" t="n">
        <f aca="false">G25*Inputs!$B$6</f>
        <v>2373.01471366089</v>
      </c>
      <c r="H28" s="38" t="n">
        <f aca="false">H25*Inputs!$B$6</f>
        <v>2967.86788725731</v>
      </c>
      <c r="I28" s="38" t="n">
        <f aca="false">I25*Inputs!$B$6</f>
        <v>3739.39235462416</v>
      </c>
      <c r="J28" s="38" t="n">
        <f aca="false">J25*Inputs!$B$6</f>
        <v>4401.91750793919</v>
      </c>
      <c r="K28" s="38" t="n">
        <f aca="false">K25*Inputs!$B$6</f>
        <v>5238.40707583591</v>
      </c>
      <c r="L28" s="38" t="n">
        <f aca="false">L25*Inputs!$B$6</f>
        <v>6163.7641463739</v>
      </c>
      <c r="M28" s="38" t="n">
        <f aca="false">M25*Inputs!$B$6</f>
        <v>7174.43401944752</v>
      </c>
      <c r="N28" s="51" t="n">
        <f aca="false">SUM(B28:M28)</f>
        <v>35594.4518100453</v>
      </c>
    </row>
    <row r="29" customFormat="false" ht="15" hidden="false" customHeight="false" outlineLevel="0" collapsed="false">
      <c r="A29" s="6" t="s">
        <v>300</v>
      </c>
      <c r="B29" s="38" t="n">
        <f aca="false">'Cost Model'!$B$17</f>
        <v>7971.66666666667</v>
      </c>
      <c r="C29" s="38" t="n">
        <f aca="false">'Cost Model'!$B$17</f>
        <v>7971.66666666667</v>
      </c>
      <c r="D29" s="38" t="n">
        <f aca="false">'Cost Model'!$B$17</f>
        <v>7971.66666666667</v>
      </c>
      <c r="E29" s="38" t="n">
        <f aca="false">'Cost Model'!$B$17</f>
        <v>7971.66666666667</v>
      </c>
      <c r="F29" s="38" t="n">
        <f aca="false">'Cost Model'!$B$17</f>
        <v>7971.66666666667</v>
      </c>
      <c r="G29" s="38" t="n">
        <f aca="false">'Cost Model'!$B$17</f>
        <v>7971.66666666667</v>
      </c>
      <c r="H29" s="38" t="n">
        <f aca="false">'Cost Model'!$B$17</f>
        <v>7971.66666666667</v>
      </c>
      <c r="I29" s="38" t="n">
        <f aca="false">'Cost Model'!$B$17</f>
        <v>7971.66666666667</v>
      </c>
      <c r="J29" s="38" t="n">
        <f aca="false">'Cost Model'!$B$17</f>
        <v>7971.66666666667</v>
      </c>
      <c r="K29" s="38" t="n">
        <f aca="false">'Cost Model'!$B$17</f>
        <v>7971.66666666667</v>
      </c>
      <c r="L29" s="38" t="n">
        <f aca="false">'Cost Model'!$B$17</f>
        <v>7971.66666666667</v>
      </c>
      <c r="M29" s="38" t="n">
        <f aca="false">'Cost Model'!$B$17</f>
        <v>7971.66666666667</v>
      </c>
      <c r="N29" s="51" t="n">
        <f aca="false">SUM(B29:M29)</f>
        <v>95660</v>
      </c>
    </row>
    <row r="30" customFormat="false" ht="15" hidden="false" customHeight="false" outlineLevel="0" collapsed="false">
      <c r="A30" s="6" t="s">
        <v>301</v>
      </c>
      <c r="B30" s="38" t="n">
        <f aca="false">B24*((1-Inputs!$B$27)*Inputs!$D$22*Inputs!$B$26*Inputs!$B$25+Inputs!$B$30/1000*Inputs!$B$31*Inputs!$B$5)</f>
        <v>0</v>
      </c>
      <c r="C30" s="38" t="n">
        <f aca="false">C24*((1-Inputs!$B$27)*Inputs!$D$22*Inputs!$B$26*Inputs!$B$25+Inputs!$B$30/1000*Inputs!$B$31*Inputs!$B$5)</f>
        <v>1227.19434642857</v>
      </c>
      <c r="D30" s="38" t="n">
        <f aca="false">D24*((1-Inputs!$B$27)*Inputs!$D$22*Inputs!$B$26*Inputs!$B$25+Inputs!$B$30/1000*Inputs!$B$31*Inputs!$B$5)</f>
        <v>3003.61798328571</v>
      </c>
      <c r="E30" s="38" t="n">
        <f aca="false">E24*((1-Inputs!$B$27)*Inputs!$D$22*Inputs!$B$26*Inputs!$B$25+Inputs!$B$30/1000*Inputs!$B$31*Inputs!$B$5)</f>
        <v>6270.72108538286</v>
      </c>
      <c r="F30" s="38" t="n">
        <f aca="false">F24*((1-Inputs!$B$27)*Inputs!$D$22*Inputs!$B$26*Inputs!$B$25+Inputs!$B$30/1000*Inputs!$B$31*Inputs!$B$5)</f>
        <v>10603.7741919675</v>
      </c>
      <c r="G30" s="38" t="n">
        <f aca="false">G24*((1-Inputs!$B$27)*Inputs!$D$22*Inputs!$B$26*Inputs!$B$25+Inputs!$B$30/1000*Inputs!$B$31*Inputs!$B$5)</f>
        <v>14165.1881100031</v>
      </c>
      <c r="H30" s="38" t="n">
        <f aca="false">H24*((1-Inputs!$B$27)*Inputs!$D$22*Inputs!$B$26*Inputs!$B$25+Inputs!$B$30/1000*Inputs!$B$31*Inputs!$B$5)</f>
        <v>17716.0329713173</v>
      </c>
      <c r="I30" s="38" t="n">
        <f aca="false">I24*((1-Inputs!$B$27)*Inputs!$D$22*Inputs!$B$26*Inputs!$B$25+Inputs!$B$30/1000*Inputs!$B$31*Inputs!$B$5)</f>
        <v>22321.4781667503</v>
      </c>
      <c r="J30" s="38" t="n">
        <f aca="false">J24*((1-Inputs!$B$27)*Inputs!$D$22*Inputs!$B$26*Inputs!$B$25+Inputs!$B$30/1000*Inputs!$B$31*Inputs!$B$5)</f>
        <v>26276.2759900803</v>
      </c>
      <c r="K30" s="38" t="n">
        <f aca="false">K24*((1-Inputs!$B$27)*Inputs!$D$22*Inputs!$B$26*Inputs!$B$25+Inputs!$B$30/1000*Inputs!$B$31*Inputs!$B$5)</f>
        <v>31269.5160290485</v>
      </c>
      <c r="L30" s="38" t="n">
        <f aca="false">L24*((1-Inputs!$B$27)*Inputs!$D$22*Inputs!$B$26*Inputs!$B$25+Inputs!$B$30/1000*Inputs!$B$31*Inputs!$B$5)</f>
        <v>36793.2310307437</v>
      </c>
      <c r="M30" s="38" t="n">
        <f aca="false">M24*((1-Inputs!$B$27)*Inputs!$D$22*Inputs!$B$26*Inputs!$B$25+Inputs!$B$30/1000*Inputs!$B$31*Inputs!$B$5)</f>
        <v>42826.2019966568</v>
      </c>
      <c r="N30" s="51" t="n">
        <f aca="false">SUM(B30:M30)</f>
        <v>212473.231901665</v>
      </c>
    </row>
    <row r="31" customFormat="false" ht="15" hidden="false" customHeight="false" outlineLevel="0" collapsed="false">
      <c r="A31" s="6" t="s">
        <v>302</v>
      </c>
      <c r="B31" s="38" t="n">
        <f aca="false">'Marketing Budget'!B18</f>
        <v>37990</v>
      </c>
      <c r="C31" s="38" t="n">
        <f aca="false">'Marketing Budget'!C18</f>
        <v>48698.9138035714</v>
      </c>
      <c r="D31" s="38" t="n">
        <f aca="false">'Marketing Budget'!D18</f>
        <v>84725.1010907143</v>
      </c>
      <c r="E31" s="38" t="n">
        <f aca="false">'Marketing Budget'!E18</f>
        <v>136612.409725657</v>
      </c>
      <c r="F31" s="38" t="n">
        <f aca="false">'Marketing Budget'!F18</f>
        <v>92125.4860866309</v>
      </c>
      <c r="G31" s="38" t="n">
        <f aca="false">'Marketing Budget'!G18</f>
        <v>114182.809357451</v>
      </c>
      <c r="H31" s="38" t="n">
        <f aca="false">'Marketing Budget'!H18</f>
        <v>116234.027197439</v>
      </c>
      <c r="I31" s="38" t="n">
        <f aca="false">'Marketing Budget'!I18</f>
        <v>108894.456395256</v>
      </c>
      <c r="J31" s="38" t="n">
        <f aca="false">'Marketing Budget'!J18</f>
        <v>151179.025889446</v>
      </c>
      <c r="K31" s="38" t="n">
        <f aca="false">'Marketing Budget'!K18</f>
        <v>144063.472675296</v>
      </c>
      <c r="L31" s="38" t="n">
        <f aca="false">'Marketing Budget'!L18</f>
        <v>177254.359125427</v>
      </c>
      <c r="M31" s="38" t="n">
        <f aca="false">'Marketing Budget'!M18</f>
        <v>170739.427653267</v>
      </c>
      <c r="N31" s="51" t="n">
        <f aca="false">SUM(B31:M31)</f>
        <v>1382699.48900016</v>
      </c>
    </row>
    <row r="32" customFormat="false" ht="15" hidden="false" customHeight="false" outlineLevel="0" collapsed="false">
      <c r="A32" s="39" t="s">
        <v>167</v>
      </c>
      <c r="B32" s="40" t="n">
        <f aca="false">SUM(B28:B31)</f>
        <v>45961.6666666667</v>
      </c>
      <c r="C32" s="40" t="n">
        <f aca="false">SUM(C28:C31)</f>
        <v>58103.3598197024</v>
      </c>
      <c r="D32" s="40" t="n">
        <f aca="false">SUM(D28:D31)</f>
        <v>96203.5650569738</v>
      </c>
      <c r="E32" s="40" t="n">
        <f aca="false">SUM(E28:E31)</f>
        <v>151905.296298147</v>
      </c>
      <c r="F32" s="40" t="n">
        <f aca="false">SUM(F28:F31)</f>
        <v>112477.317910388</v>
      </c>
      <c r="G32" s="40" t="n">
        <f aca="false">SUM(G28:G31)</f>
        <v>138692.678847782</v>
      </c>
      <c r="H32" s="40" t="n">
        <f aca="false">SUM(H28:H31)</f>
        <v>144889.59472268</v>
      </c>
      <c r="I32" s="40" t="n">
        <f aca="false">SUM(I28:I31)</f>
        <v>142926.993583297</v>
      </c>
      <c r="J32" s="40" t="n">
        <f aca="false">SUM(J28:J31)</f>
        <v>189828.886054132</v>
      </c>
      <c r="K32" s="40" t="n">
        <f aca="false">SUM(K28:K31)</f>
        <v>188543.062446847</v>
      </c>
      <c r="L32" s="40" t="n">
        <f aca="false">SUM(L28:L31)</f>
        <v>228183.020969212</v>
      </c>
      <c r="M32" s="40" t="n">
        <f aca="false">SUM(M28:M31)</f>
        <v>228711.730336038</v>
      </c>
      <c r="N32" s="40" t="n">
        <f aca="false">SUM(B32:M32)</f>
        <v>1726427.17271187</v>
      </c>
    </row>
    <row r="33" customFormat="false" ht="15" hidden="false" customHeight="false" outlineLevel="0" collapsed="false">
      <c r="A33" s="4" t="s">
        <v>166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customFormat="false" ht="15" hidden="false" customHeight="false" outlineLevel="0" collapsed="false">
      <c r="A34" s="39" t="s">
        <v>303</v>
      </c>
      <c r="B34" s="40" t="n">
        <f aca="false">B25-B32</f>
        <v>-45961.6666666667</v>
      </c>
      <c r="C34" s="40" t="n">
        <f aca="false">C25-C32</f>
        <v>-43925.0837482738</v>
      </c>
      <c r="D34" s="40" t="n">
        <f aca="false">D25-D32</f>
        <v>-61501.5432426881</v>
      </c>
      <c r="E34" s="40" t="n">
        <f aca="false">E25-E32</f>
        <v>-79457.1017850044</v>
      </c>
      <c r="F34" s="40" t="n">
        <f aca="false">F25-F32</f>
        <v>10032.4038222291</v>
      </c>
      <c r="G34" s="40" t="n">
        <f aca="false">G25-G32</f>
        <v>24963.5083012447</v>
      </c>
      <c r="H34" s="40" t="n">
        <f aca="false">H25-H32</f>
        <v>59790.9492260997</v>
      </c>
      <c r="I34" s="40" t="n">
        <f aca="false">I25-I32</f>
        <v>114962.134321818</v>
      </c>
      <c r="J34" s="40" t="n">
        <f aca="false">J25-J32</f>
        <v>113751.631734778</v>
      </c>
      <c r="K34" s="40" t="n">
        <f aca="false">K25-K32</f>
        <v>172726.391059078</v>
      </c>
      <c r="L34" s="40" t="n">
        <f aca="false">L25-L32</f>
        <v>196904.161539334</v>
      </c>
      <c r="M34" s="40" t="n">
        <f aca="false">M25-M32</f>
        <v>266076.822729308</v>
      </c>
      <c r="N34" s="40" t="n">
        <f aca="false">SUM(B34:M34)</f>
        <v>728362.607291255</v>
      </c>
    </row>
    <row r="35" customFormat="false" ht="15" hidden="false" customHeight="false" outlineLevel="0" collapsed="false">
      <c r="A35" s="6" t="s">
        <v>304</v>
      </c>
      <c r="B35" s="38" t="n">
        <f aca="false">B34</f>
        <v>-45961.6666666667</v>
      </c>
      <c r="C35" s="38" t="n">
        <f aca="false">B35+C34</f>
        <v>-89886.7504149405</v>
      </c>
      <c r="D35" s="38" t="n">
        <f aca="false">C35+D34</f>
        <v>-151388.293657629</v>
      </c>
      <c r="E35" s="38" t="n">
        <f aca="false">D35+E34</f>
        <v>-230845.395442633</v>
      </c>
      <c r="F35" s="38" t="n">
        <f aca="false">E35+F34</f>
        <v>-220812.991620404</v>
      </c>
      <c r="G35" s="38" t="n">
        <f aca="false">F35+G34</f>
        <v>-195849.483319159</v>
      </c>
      <c r="H35" s="38" t="n">
        <f aca="false">G35+H34</f>
        <v>-136058.534093059</v>
      </c>
      <c r="I35" s="38" t="n">
        <f aca="false">H35+I34</f>
        <v>-21096.3997712419</v>
      </c>
      <c r="J35" s="38" t="n">
        <f aca="false">I35+J34</f>
        <v>92655.2319635363</v>
      </c>
      <c r="K35" s="38" t="n">
        <f aca="false">J35+K34</f>
        <v>265381.623022614</v>
      </c>
      <c r="L35" s="38" t="n">
        <f aca="false">K35+L34</f>
        <v>462285.784561947</v>
      </c>
      <c r="M35" s="38" t="n">
        <f aca="false">L35+M34</f>
        <v>728362.607291255</v>
      </c>
      <c r="N35" s="51" t="n">
        <f aca="false">M35</f>
        <v>728362.607291255</v>
      </c>
    </row>
    <row r="36" customFormat="false" ht="15" hidden="false" customHeight="false" outlineLevel="0" collapsed="false">
      <c r="A36" s="4" t="s">
        <v>305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 customFormat="false" ht="15" hidden="false" customHeight="false" outlineLevel="0" collapsed="false">
      <c r="A37" s="6" t="s">
        <v>306</v>
      </c>
      <c r="B37" s="38" t="n">
        <f aca="false">IFERROR(B6/(B13*'Ad Benchmarks'!$B$10+B14*'Ad Benchmarks'!$C$10+B15*'Ad Benchmarks'!$D$10),0)</f>
        <v>2262.07788010987</v>
      </c>
      <c r="C37" s="38" t="n">
        <f aca="false">IFERROR(C6/(C13*'Ad Benchmarks'!$B$10+C14*'Ad Benchmarks'!$C$10+C15*'Ad Benchmarks'!$D$10),0)</f>
        <v>2262.07788010987</v>
      </c>
      <c r="D37" s="38" t="n">
        <f aca="false">IFERROR(D6/(D13*'Ad Benchmarks'!$B$10+D14*'Ad Benchmarks'!$C$10+D15*'Ad Benchmarks'!$D$10),0)</f>
        <v>2262.07788010987</v>
      </c>
      <c r="E37" s="38" t="n">
        <f aca="false">IFERROR(E6/(E13*'Ad Benchmarks'!$B$10+E14*'Ad Benchmarks'!$C$10+E15*'Ad Benchmarks'!$D$10),0)</f>
        <v>2262.07788010987</v>
      </c>
      <c r="F37" s="38" t="n">
        <f aca="false">IFERROR(F6/(F13*'Ad Benchmarks'!$B$10+F14*'Ad Benchmarks'!$C$10+F15*'Ad Benchmarks'!$D$10),0)</f>
        <v>2262.07788010987</v>
      </c>
      <c r="G37" s="38" t="n">
        <f aca="false">IFERROR(G6/(G13*'Ad Benchmarks'!$B$10+G14*'Ad Benchmarks'!$C$10+G15*'Ad Benchmarks'!$D$10),0)</f>
        <v>2262.07788010987</v>
      </c>
      <c r="H37" s="38" t="n">
        <f aca="false">IFERROR(H6/(H13*'Ad Benchmarks'!$B$10+H14*'Ad Benchmarks'!$C$10+H15*'Ad Benchmarks'!$D$10),0)</f>
        <v>2262.07788010987</v>
      </c>
      <c r="I37" s="38" t="n">
        <f aca="false">IFERROR(I6/(I13*'Ad Benchmarks'!$B$10+I14*'Ad Benchmarks'!$C$10+I15*'Ad Benchmarks'!$D$10),0)</f>
        <v>2262.07788010987</v>
      </c>
      <c r="J37" s="38" t="n">
        <f aca="false">IFERROR(J6/(J13*'Ad Benchmarks'!$B$10+J14*'Ad Benchmarks'!$C$10+J15*'Ad Benchmarks'!$D$10),0)</f>
        <v>2262.07788010987</v>
      </c>
      <c r="K37" s="38" t="n">
        <f aca="false">IFERROR(K6/(K13*'Ad Benchmarks'!$B$10+K14*'Ad Benchmarks'!$C$10+K15*'Ad Benchmarks'!$D$10),0)</f>
        <v>2262.07788010987</v>
      </c>
      <c r="L37" s="38" t="n">
        <f aca="false">IFERROR(L6/(L13*'Ad Benchmarks'!$B$10+L14*'Ad Benchmarks'!$C$10+L15*'Ad Benchmarks'!$D$10),0)</f>
        <v>2262.07788010987</v>
      </c>
      <c r="M37" s="38" t="n">
        <f aca="false">IFERROR(M6/(M13*'Ad Benchmarks'!$B$10+M14*'Ad Benchmarks'!$C$10+M15*'Ad Benchmarks'!$D$10),0)</f>
        <v>2262.07788010987</v>
      </c>
      <c r="N37" s="51" t="n">
        <f aca="false">IFERROR(N6/(N13*'Ad Benchmarks'!$B$10+N14*'Ad Benchmarks'!$C$10+N15*'Ad Benchmarks'!$D$10),0)</f>
        <v>2262.07788010987</v>
      </c>
    </row>
    <row r="38" customFormat="false" ht="15" hidden="false" customHeight="false" outlineLevel="0" collapsed="false">
      <c r="A38" s="6" t="s">
        <v>307</v>
      </c>
      <c r="B38" s="38" t="n">
        <f aca="false">IFERROR(B31/((B13*'Ad Benchmarks'!$B$10+B14*'Ad Benchmarks'!$C$10+B15*'Ad Benchmarks'!$D$10)+B16*'Ad Benchmarks'!$B$17),0)</f>
        <v>3266.25111308994</v>
      </c>
      <c r="C38" s="38" t="n">
        <f aca="false">IFERROR(C31/((C13*'Ad Benchmarks'!$B$10+C14*'Ad Benchmarks'!$C$10+C15*'Ad Benchmarks'!$D$10)+C16*'Ad Benchmarks'!$B$17),0)</f>
        <v>2814.67558365156</v>
      </c>
      <c r="D38" s="38" t="n">
        <f aca="false">IFERROR(D31/((D13*'Ad Benchmarks'!$B$10+D14*'Ad Benchmarks'!$C$10+D15*'Ad Benchmarks'!$D$10)+D16*'Ad Benchmarks'!$B$17),0)</f>
        <v>2639.11762213817</v>
      </c>
      <c r="E38" s="38" t="n">
        <f aca="false">IFERROR(E31/((E13*'Ad Benchmarks'!$B$10+E14*'Ad Benchmarks'!$C$10+E15*'Ad Benchmarks'!$D$10)+E16*'Ad Benchmarks'!$B$17),0)</f>
        <v>3144.49095927396</v>
      </c>
      <c r="F38" s="38" t="n">
        <f aca="false">IFERROR(F31/((F13*'Ad Benchmarks'!$B$10+F14*'Ad Benchmarks'!$C$10+F15*'Ad Benchmarks'!$D$10)+F16*'Ad Benchmarks'!$B$17),0)</f>
        <v>2438.84124728241</v>
      </c>
      <c r="G38" s="38" t="n">
        <f aca="false">IFERROR(G31/((G13*'Ad Benchmarks'!$B$10+G14*'Ad Benchmarks'!$C$10+G15*'Ad Benchmarks'!$D$10)+G16*'Ad Benchmarks'!$B$17),0)</f>
        <v>2925.94232713021</v>
      </c>
      <c r="H38" s="38" t="n">
        <f aca="false">IFERROR(H31/((H13*'Ad Benchmarks'!$B$10+H14*'Ad Benchmarks'!$C$10+H15*'Ad Benchmarks'!$D$10)+H16*'Ad Benchmarks'!$B$17),0)</f>
        <v>2307.80063076376</v>
      </c>
      <c r="I38" s="38" t="n">
        <f aca="false">IFERROR(I31/((I13*'Ad Benchmarks'!$B$10+I14*'Ad Benchmarks'!$C$10+I15*'Ad Benchmarks'!$D$10)+I16*'Ad Benchmarks'!$B$17),0)</f>
        <v>2370.10461193287</v>
      </c>
      <c r="J38" s="38" t="n">
        <f aca="false">IFERROR(J31/((J13*'Ad Benchmarks'!$B$10+J14*'Ad Benchmarks'!$C$10+J15*'Ad Benchmarks'!$D$10)+J16*'Ad Benchmarks'!$B$17),0)</f>
        <v>2639.00245938609</v>
      </c>
      <c r="K38" s="38" t="n">
        <f aca="false">IFERROR(K31/((K13*'Ad Benchmarks'!$B$10+K14*'Ad Benchmarks'!$C$10+K15*'Ad Benchmarks'!$D$10)+K16*'Ad Benchmarks'!$B$17),0)</f>
        <v>2243.7296890134</v>
      </c>
      <c r="L38" s="38" t="n">
        <f aca="false">IFERROR(L31/((L13*'Ad Benchmarks'!$B$10+L14*'Ad Benchmarks'!$C$10+L15*'Ad Benchmarks'!$D$10)+L16*'Ad Benchmarks'!$B$17),0)</f>
        <v>2492.05256907177</v>
      </c>
      <c r="M38" s="38" t="n">
        <f aca="false">IFERROR(M31/((M13*'Ad Benchmarks'!$B$10+M14*'Ad Benchmarks'!$C$10+M15*'Ad Benchmarks'!$D$10)+M16*'Ad Benchmarks'!$B$17),0)</f>
        <v>2187.60477646314</v>
      </c>
      <c r="N38" s="51" t="n">
        <f aca="false">IFERROR(N31/((N13*'Ad Benchmarks'!$B$10+N14*'Ad Benchmarks'!$C$10+N15*'Ad Benchmarks'!$D$10)+N16*'Ad Benchmarks'!$B$17),0)</f>
        <v>2521.97440555551</v>
      </c>
    </row>
    <row r="39" customFormat="false" ht="15" hidden="false" customHeight="false" outlineLevel="0" collapsed="false">
      <c r="A39" s="6" t="s">
        <v>46</v>
      </c>
      <c r="B39" s="48" t="n">
        <f aca="false">IFERROR((B13*'Ad Benchmarks'!$B$10+B14*'Ad Benchmarks'!$C$10+B15*'Ad Benchmarks'!$D$10)*Inputs!$B$22/B6,0)</f>
        <v>0.538885071428571</v>
      </c>
      <c r="C39" s="48" t="n">
        <f aca="false">IFERROR((C13*'Ad Benchmarks'!$B$10+C14*'Ad Benchmarks'!$C$10+C15*'Ad Benchmarks'!$D$10)*Inputs!$B$22/C6,0)</f>
        <v>0.538885071428571</v>
      </c>
      <c r="D39" s="48" t="n">
        <f aca="false">IFERROR((D13*'Ad Benchmarks'!$B$10+D14*'Ad Benchmarks'!$C$10+D15*'Ad Benchmarks'!$D$10)*Inputs!$B$22/D6,0)</f>
        <v>0.538885071428571</v>
      </c>
      <c r="E39" s="48" t="n">
        <f aca="false">IFERROR((E13*'Ad Benchmarks'!$B$10+E14*'Ad Benchmarks'!$C$10+E15*'Ad Benchmarks'!$D$10)*Inputs!$B$22/E6,0)</f>
        <v>0.538885071428571</v>
      </c>
      <c r="F39" s="48" t="n">
        <f aca="false">IFERROR((F13*'Ad Benchmarks'!$B$10+F14*'Ad Benchmarks'!$C$10+F15*'Ad Benchmarks'!$D$10)*Inputs!$B$22/F6,0)</f>
        <v>0.538885071428571</v>
      </c>
      <c r="G39" s="48" t="n">
        <f aca="false">IFERROR((G13*'Ad Benchmarks'!$B$10+G14*'Ad Benchmarks'!$C$10+G15*'Ad Benchmarks'!$D$10)*Inputs!$B$22/G6,0)</f>
        <v>0.538885071428571</v>
      </c>
      <c r="H39" s="48" t="n">
        <f aca="false">IFERROR((H13*'Ad Benchmarks'!$B$10+H14*'Ad Benchmarks'!$C$10+H15*'Ad Benchmarks'!$D$10)*Inputs!$B$22/H6,0)</f>
        <v>0.538885071428572</v>
      </c>
      <c r="I39" s="48" t="n">
        <f aca="false">IFERROR((I13*'Ad Benchmarks'!$B$10+I14*'Ad Benchmarks'!$C$10+I15*'Ad Benchmarks'!$D$10)*Inputs!$B$22/I6,0)</f>
        <v>0.538885071428571</v>
      </c>
      <c r="J39" s="48" t="n">
        <f aca="false">IFERROR((J13*'Ad Benchmarks'!$B$10+J14*'Ad Benchmarks'!$C$10+J15*'Ad Benchmarks'!$D$10)*Inputs!$B$22/J6,0)</f>
        <v>0.538885071428571</v>
      </c>
      <c r="K39" s="48" t="n">
        <f aca="false">IFERROR((K13*'Ad Benchmarks'!$B$10+K14*'Ad Benchmarks'!$C$10+K15*'Ad Benchmarks'!$D$10)*Inputs!$B$22/K6,0)</f>
        <v>0.538885071428571</v>
      </c>
      <c r="L39" s="48" t="n">
        <f aca="false">IFERROR((L13*'Ad Benchmarks'!$B$10+L14*'Ad Benchmarks'!$C$10+L15*'Ad Benchmarks'!$D$10)*Inputs!$B$22/L6,0)</f>
        <v>0.538885071428571</v>
      </c>
      <c r="M39" s="48" t="n">
        <f aca="false">IFERROR((M13*'Ad Benchmarks'!$B$10+M14*'Ad Benchmarks'!$C$10+M15*'Ad Benchmarks'!$D$10)*Inputs!$B$22/M6,0)</f>
        <v>0.538885071428571</v>
      </c>
      <c r="N39" s="59" t="n">
        <f aca="false">IFERROR((N13*'Ad Benchmarks'!$B$10+N14*'Ad Benchmarks'!$C$10+N15*'Ad Benchmarks'!$D$10)*Inputs!$B$22/N6,0)</f>
        <v>0.538885071428571</v>
      </c>
    </row>
    <row r="40" customFormat="false" ht="15" hidden="false" customHeight="false" outlineLevel="0" collapsed="false">
      <c r="A40" s="6" t="s">
        <v>308</v>
      </c>
      <c r="B40" s="48" t="n">
        <f aca="false">IFERROR((B13*'Ad Benchmarks'!$B$10+B14*'Ad Benchmarks'!$C$10+B15*'Ad Benchmarks'!$D$10)*'Ad Benchmarks'!$B$20/B6,0)</f>
        <v>5.21762325212343</v>
      </c>
      <c r="C40" s="48" t="n">
        <f aca="false">IFERROR((C13*'Ad Benchmarks'!$B$10+C14*'Ad Benchmarks'!$C$10+C15*'Ad Benchmarks'!$D$10)*'Ad Benchmarks'!$B$20/C6,0)</f>
        <v>5.21762325212343</v>
      </c>
      <c r="D40" s="48" t="n">
        <f aca="false">IFERROR((D13*'Ad Benchmarks'!$B$10+D14*'Ad Benchmarks'!$C$10+D15*'Ad Benchmarks'!$D$10)*'Ad Benchmarks'!$B$20/D6,0)</f>
        <v>5.21762325212343</v>
      </c>
      <c r="E40" s="48" t="n">
        <f aca="false">IFERROR((E13*'Ad Benchmarks'!$B$10+E14*'Ad Benchmarks'!$C$10+E15*'Ad Benchmarks'!$D$10)*'Ad Benchmarks'!$B$20/E6,0)</f>
        <v>5.21762325212343</v>
      </c>
      <c r="F40" s="48" t="n">
        <f aca="false">IFERROR((F13*'Ad Benchmarks'!$B$10+F14*'Ad Benchmarks'!$C$10+F15*'Ad Benchmarks'!$D$10)*'Ad Benchmarks'!$B$20/F6,0)</f>
        <v>5.21762325212343</v>
      </c>
      <c r="G40" s="48" t="n">
        <f aca="false">IFERROR((G13*'Ad Benchmarks'!$B$10+G14*'Ad Benchmarks'!$C$10+G15*'Ad Benchmarks'!$D$10)*'Ad Benchmarks'!$B$20/G6,0)</f>
        <v>5.21762325212343</v>
      </c>
      <c r="H40" s="48" t="n">
        <f aca="false">IFERROR((H13*'Ad Benchmarks'!$B$10+H14*'Ad Benchmarks'!$C$10+H15*'Ad Benchmarks'!$D$10)*'Ad Benchmarks'!$B$20/H6,0)</f>
        <v>5.21762325212343</v>
      </c>
      <c r="I40" s="48" t="n">
        <f aca="false">IFERROR((I13*'Ad Benchmarks'!$B$10+I14*'Ad Benchmarks'!$C$10+I15*'Ad Benchmarks'!$D$10)*'Ad Benchmarks'!$B$20/I6,0)</f>
        <v>5.21762325212343</v>
      </c>
      <c r="J40" s="48" t="n">
        <f aca="false">IFERROR((J13*'Ad Benchmarks'!$B$10+J14*'Ad Benchmarks'!$C$10+J15*'Ad Benchmarks'!$D$10)*'Ad Benchmarks'!$B$20/J6,0)</f>
        <v>5.21762325212343</v>
      </c>
      <c r="K40" s="48" t="n">
        <f aca="false">IFERROR((K13*'Ad Benchmarks'!$B$10+K14*'Ad Benchmarks'!$C$10+K15*'Ad Benchmarks'!$D$10)*'Ad Benchmarks'!$B$20/K6,0)</f>
        <v>5.21762325212343</v>
      </c>
      <c r="L40" s="48" t="n">
        <f aca="false">IFERROR((L13*'Ad Benchmarks'!$B$10+L14*'Ad Benchmarks'!$C$10+L15*'Ad Benchmarks'!$D$10)*'Ad Benchmarks'!$B$20/L6,0)</f>
        <v>5.21762325212343</v>
      </c>
      <c r="M40" s="48" t="n">
        <f aca="false">IFERROR((M13*'Ad Benchmarks'!$B$10+M14*'Ad Benchmarks'!$C$10+M15*'Ad Benchmarks'!$D$10)*'Ad Benchmarks'!$B$20/M6,0)</f>
        <v>5.21762325212343</v>
      </c>
      <c r="N40" s="59" t="n">
        <f aca="false">IFERROR((N13*'Ad Benchmarks'!$B$10+N14*'Ad Benchmarks'!$C$10+N15*'Ad Benchmarks'!$D$10)*'Ad Benchmarks'!$B$20/N6,0)</f>
        <v>5.21762325212343</v>
      </c>
    </row>
    <row r="41" customFormat="false" ht="15" hidden="false" customHeight="false" outlineLevel="0" collapsed="false">
      <c r="A41" s="6" t="s">
        <v>54</v>
      </c>
      <c r="B41" s="60" t="n">
        <f aca="false">IFERROR('Ad Benchmarks'!$B$21/B38,0)</f>
        <v>8.38740242298255</v>
      </c>
      <c r="C41" s="60" t="n">
        <f aca="false">IFERROR('Ad Benchmarks'!$B$21/C38,0)</f>
        <v>9.73304442583723</v>
      </c>
      <c r="D41" s="60" t="n">
        <f aca="false">IFERROR('Ad Benchmarks'!$B$21/D38,0)</f>
        <v>10.3805007666937</v>
      </c>
      <c r="E41" s="60" t="n">
        <f aca="false">IFERROR('Ad Benchmarks'!$B$21/E38,0)</f>
        <v>8.71217721876529</v>
      </c>
      <c r="F41" s="60" t="n">
        <f aca="false">IFERROR('Ad Benchmarks'!$B$21/F38,0)</f>
        <v>11.2329420910551</v>
      </c>
      <c r="G41" s="60" t="n">
        <f aca="false">IFERROR('Ad Benchmarks'!$B$21/G38,0)</f>
        <v>9.36291951006075</v>
      </c>
      <c r="H41" s="60" t="n">
        <f aca="false">IFERROR('Ad Benchmarks'!$B$21/H38,0)</f>
        <v>11.8707665362469</v>
      </c>
      <c r="I41" s="60" t="n">
        <f aca="false">IFERROR('Ad Benchmarks'!$B$21/I38,0)</f>
        <v>11.5587144812391</v>
      </c>
      <c r="J41" s="60" t="n">
        <f aca="false">IFERROR('Ad Benchmarks'!$B$21/J38,0)</f>
        <v>10.3809537587066</v>
      </c>
      <c r="K41" s="60" t="n">
        <f aca="false">IFERROR('Ad Benchmarks'!$B$21/K38,0)</f>
        <v>12.2097428376259</v>
      </c>
      <c r="L41" s="60" t="n">
        <f aca="false">IFERROR('Ad Benchmarks'!$B$21/L38,0)</f>
        <v>10.9930917349003</v>
      </c>
      <c r="M41" s="60" t="n">
        <f aca="false">IFERROR('Ad Benchmarks'!$B$21/M38,0)</f>
        <v>12.5229944616834</v>
      </c>
      <c r="N41" s="61" t="n">
        <f aca="false">IFERROR('Ad Benchmarks'!$B$21/N38,0)</f>
        <v>10.862664759663</v>
      </c>
    </row>
    <row r="42" customFormat="false" ht="15" hidden="false" customHeight="false" outlineLevel="0" collapsed="false">
      <c r="A42" s="6" t="s">
        <v>309</v>
      </c>
      <c r="B42" s="62" t="n">
        <f aca="false">IFERROR(B38/'Ad Benchmarks'!$B$22,0)</f>
        <v>2.98066060732901</v>
      </c>
      <c r="C42" s="62" t="n">
        <f aca="false">IFERROR(C38/'Ad Benchmarks'!$B$22,0)</f>
        <v>2.5685693916731</v>
      </c>
      <c r="D42" s="62" t="n">
        <f aca="false">IFERROR(D38/'Ad Benchmarks'!$B$22,0)</f>
        <v>2.40836165440243</v>
      </c>
      <c r="E42" s="62" t="n">
        <f aca="false">IFERROR(E38/'Ad Benchmarks'!$B$22,0)</f>
        <v>2.86954677025533</v>
      </c>
      <c r="F42" s="62" t="n">
        <f aca="false">IFERROR(F38/'Ad Benchmarks'!$B$22,0)</f>
        <v>2.22559680245371</v>
      </c>
      <c r="G42" s="62" t="n">
        <f aca="false">IFERROR(G38/'Ad Benchmarks'!$B$22,0)</f>
        <v>2.67010732850333</v>
      </c>
      <c r="H42" s="62" t="n">
        <f aca="false">IFERROR(H38/'Ad Benchmarks'!$B$22,0)</f>
        <v>2.10601395652619</v>
      </c>
      <c r="I42" s="62" t="n">
        <f aca="false">IFERROR(I38/'Ad Benchmarks'!$B$22,0)</f>
        <v>2.16287027770929</v>
      </c>
      <c r="J42" s="62" t="n">
        <f aca="false">IFERROR(J38/'Ad Benchmarks'!$B$22,0)</f>
        <v>2.40825656111147</v>
      </c>
      <c r="K42" s="62" t="n">
        <f aca="false">IFERROR(K38/'Ad Benchmarks'!$B$22,0)</f>
        <v>2.04754517211937</v>
      </c>
      <c r="L42" s="62" t="n">
        <f aca="false">IFERROR(L38/'Ad Benchmarks'!$B$22,0)</f>
        <v>2.27415549718659</v>
      </c>
      <c r="M42" s="62" t="n">
        <f aca="false">IFERROR(M38/'Ad Benchmarks'!$B$22,0)</f>
        <v>1.99632764164294</v>
      </c>
      <c r="N42" s="63" t="n">
        <f aca="false">IFERROR(N38/'Ad Benchmarks'!$B$22,0)</f>
        <v>2.30146106440051</v>
      </c>
    </row>
    <row r="43" customFormat="false" ht="15" hidden="false" customHeight="false" outlineLevel="0" collapsed="false">
      <c r="A43" s="6" t="s">
        <v>310</v>
      </c>
      <c r="B43" s="41" t="n">
        <f aca="false">IFERROR(B35/SUM($B$31:B31),0)</f>
        <v>-1.20983592173379</v>
      </c>
      <c r="C43" s="41" t="n">
        <f aca="false">IFERROR(C35/SUM($B$31:C31),0)</f>
        <v>-1.03688864551487</v>
      </c>
      <c r="D43" s="41" t="n">
        <f aca="false">IFERROR(D35/SUM($B$31:D31),0)</f>
        <v>-0.883173372673131</v>
      </c>
      <c r="E43" s="41" t="n">
        <f aca="false">IFERROR(E35/SUM($B$31:E31),0)</f>
        <v>-0.74943374006779</v>
      </c>
      <c r="F43" s="41" t="n">
        <f aca="false">IFERROR(F35/SUM($B$31:F31),0)</f>
        <v>-0.551822909530784</v>
      </c>
      <c r="G43" s="41" t="n">
        <f aca="false">IFERROR(G35/SUM($B$31:G31),0)</f>
        <v>-0.380782155431349</v>
      </c>
      <c r="H43" s="41" t="n">
        <f aca="false">IFERROR(H35/SUM($B$31:H31),0)</f>
        <v>-0.215771134684293</v>
      </c>
      <c r="I43" s="41" t="n">
        <f aca="false">IFERROR(I35/SUM($B$31:I31),0)</f>
        <v>-0.0285293435385535</v>
      </c>
      <c r="J43" s="41" t="n">
        <f aca="false">IFERROR(J35/SUM($B$31:J31),0)</f>
        <v>0.104031932115716</v>
      </c>
      <c r="K43" s="41" t="n">
        <f aca="false">IFERROR(K35/SUM($B$31:K31),0)</f>
        <v>0.256480294302866</v>
      </c>
      <c r="L43" s="41" t="n">
        <f aca="false">IFERROR(L35/SUM($B$31:L31),0)</f>
        <v>0.381436484011028</v>
      </c>
      <c r="M43" s="41" t="n">
        <f aca="false">IFERROR(M35/SUM($B$31:M31),0)</f>
        <v>0.526768551724816</v>
      </c>
      <c r="N43" s="64" t="n">
        <f aca="false">IFERROR(M35/N31,0)</f>
        <v>0.526768551724816</v>
      </c>
    </row>
    <row r="44" customFormat="false" ht="15" hidden="false" customHeight="false" outlineLevel="0" collapsed="false">
      <c r="A44" s="65" t="s">
        <v>311</v>
      </c>
      <c r="B44" s="66" t="n">
        <f aca="false">IF(B34&gt;0,1,0)</f>
        <v>0</v>
      </c>
      <c r="C44" s="66" t="n">
        <f aca="false">IF(C34&gt;0,1,0)</f>
        <v>0</v>
      </c>
      <c r="D44" s="66" t="n">
        <f aca="false">IF(D34&gt;0,1,0)</f>
        <v>0</v>
      </c>
      <c r="E44" s="66" t="n">
        <f aca="false">IF(E34&gt;0,1,0)</f>
        <v>0</v>
      </c>
      <c r="F44" s="66" t="n">
        <f aca="false">IF(F34&gt;0,1,0)</f>
        <v>1</v>
      </c>
      <c r="G44" s="66" t="n">
        <f aca="false">IF(G34&gt;0,1,0)</f>
        <v>1</v>
      </c>
      <c r="H44" s="66" t="n">
        <f aca="false">IF(H34&gt;0,1,0)</f>
        <v>1</v>
      </c>
      <c r="I44" s="66" t="n">
        <f aca="false">IF(I34&gt;0,1,0)</f>
        <v>1</v>
      </c>
      <c r="J44" s="66" t="n">
        <f aca="false">IF(J34&gt;0,1,0)</f>
        <v>1</v>
      </c>
      <c r="K44" s="66" t="n">
        <f aca="false">IF(K34&gt;0,1,0)</f>
        <v>1</v>
      </c>
      <c r="L44" s="66" t="n">
        <f aca="false">IF(L34&gt;0,1,0)</f>
        <v>1</v>
      </c>
      <c r="M44" s="66" t="n">
        <f aca="false">IF(M34&gt;0,1,0)</f>
        <v>1</v>
      </c>
    </row>
    <row r="45" customFormat="false" ht="15" hidden="false" customHeight="false" outlineLevel="0" collapsed="false">
      <c r="A45" s="65" t="s">
        <v>312</v>
      </c>
      <c r="B45" s="66" t="n">
        <f aca="false">IF(B35&gt;=0,1,0)</f>
        <v>0</v>
      </c>
      <c r="C45" s="66" t="n">
        <f aca="false">IF(C35&gt;=0,1,0)</f>
        <v>0</v>
      </c>
      <c r="D45" s="66" t="n">
        <f aca="false">IF(D35&gt;=0,1,0)</f>
        <v>0</v>
      </c>
      <c r="E45" s="66" t="n">
        <f aca="false">IF(E35&gt;=0,1,0)</f>
        <v>0</v>
      </c>
      <c r="F45" s="66" t="n">
        <f aca="false">IF(F35&gt;=0,1,0)</f>
        <v>0</v>
      </c>
      <c r="G45" s="66" t="n">
        <f aca="false">IF(G35&gt;=0,1,0)</f>
        <v>0</v>
      </c>
      <c r="H45" s="66" t="n">
        <f aca="false">IF(H35&gt;=0,1,0)</f>
        <v>0</v>
      </c>
      <c r="I45" s="66" t="n">
        <f aca="false">IF(I35&gt;=0,1,0)</f>
        <v>0</v>
      </c>
      <c r="J45" s="66" t="n">
        <f aca="false">IF(J35&gt;=0,1,0)</f>
        <v>1</v>
      </c>
      <c r="K45" s="66" t="n">
        <f aca="false">IF(K35&gt;=0,1,0)</f>
        <v>1</v>
      </c>
      <c r="L45" s="66" t="n">
        <f aca="false">IF(L35&gt;=0,1,0)</f>
        <v>1</v>
      </c>
      <c r="M45" s="66" t="n">
        <f aca="false">IF(M35&gt;=0,1,0)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2026-10-14T11:27:19Z</dcterms:created>
  <dc:creator>openpyxl</dc:creator>
  <dc:description/>
  <dc:language>en-US</dc:language>
  <cp:lastModifiedBy/>
  <dcterms:modified xsi:type="dcterms:W3CDTF">2026-10-14T11:27:19Z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